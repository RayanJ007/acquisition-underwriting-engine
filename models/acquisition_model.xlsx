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eb126082b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4f61bfd9584447a"/>
    <x:sheet xmlns:r="http://schemas.openxmlformats.org/officeDocument/2006/relationships" name="Assumptions" sheetId="2" r:id="Rd36b155bc6474383"/>
    <x:sheet xmlns:r="http://schemas.openxmlformats.org/officeDocument/2006/relationships" name="Historicals" sheetId="3" r:id="Rc56fc77dff1e49a8"/>
    <x:sheet xmlns:r="http://schemas.openxmlformats.org/officeDocument/2006/relationships" name="Operating Forecast" sheetId="4" r:id="R60e1ce9dfad5403c"/>
    <x:sheet xmlns:r="http://schemas.openxmlformats.org/officeDocument/2006/relationships" name="Income Statement" sheetId="5" r:id="R8b2aeb215d3f4ba8"/>
    <x:sheet xmlns:r="http://schemas.openxmlformats.org/officeDocument/2006/relationships" name="Balance Sheet" sheetId="6" r:id="R36370f9091cc4845"/>
    <x:sheet xmlns:r="http://schemas.openxmlformats.org/officeDocument/2006/relationships" name="Cash Flow" sheetId="7" r:id="Reafd8e4fe8e84750"/>
    <x:sheet xmlns:r="http://schemas.openxmlformats.org/officeDocument/2006/relationships" name="Working Capital" sheetId="8" r:id="R3203c3da563743b1"/>
    <x:sheet xmlns:r="http://schemas.openxmlformats.org/officeDocument/2006/relationships" name="Debt Schedule" sheetId="9" r:id="R7511988d9967454c"/>
    <x:sheet xmlns:r="http://schemas.openxmlformats.org/officeDocument/2006/relationships" name="DCF" sheetId="10" r:id="R79ee0a20a43346b0"/>
    <x:sheet xmlns:r="http://schemas.openxmlformats.org/officeDocument/2006/relationships" name="Comps" sheetId="11" r:id="R341990a9ddc0455b"/>
    <x:sheet xmlns:r="http://schemas.openxmlformats.org/officeDocument/2006/relationships" name="QoE" sheetId="12" r:id="R02c042fc34b941f8"/>
    <x:sheet xmlns:r="http://schemas.openxmlformats.org/officeDocument/2006/relationships" name="LBO" sheetId="13" r:id="R2c6bd4a566e04e1f"/>
    <x:sheet xmlns:r="http://schemas.openxmlformats.org/officeDocument/2006/relationships" name="Sensitivities" sheetId="14" r:id="R4b806dc38c6c42d1"/>
    <x:sheet xmlns:r="http://schemas.openxmlformats.org/officeDocument/2006/relationships" name="Dashboard" sheetId="15" r:id="R9edaeb1d3ab54cbe"/>
    <x:sheet xmlns:r="http://schemas.openxmlformats.org/officeDocument/2006/relationships" name="Checks" sheetId="16" r:id="R8bd94e5b1873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(#,##0.0);&quot;–&quot;"/>
    <x:numFmt numFmtId="201" formatCode="0"/>
    <x:numFmt numFmtId="202" formatCode="0.0%;(0.0%);&quot;–&quot;"/>
    <x:numFmt numFmtId="203" formatCode="0.00"/>
    <x:numFmt numFmtId="204" formatCode="0.00&quot;x&quot;"/>
    <x:numFmt numFmtId="205" formatCode="0.000"/>
    <x:numFmt numFmtId="206" formatCode="0.00E+00"/>
    <x:numFmt numFmtId="207" formatCode="General"/>
  </x:numFmts>
  <x:fonts count="14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0"/>
      <x:color rgb="FF536678"/>
      <x:name val="Arial"/>
    </x:font>
    <x:font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  <x:font>
      <x:sz val="11"/>
      <x:color rgb="FF111111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sz val="11"/>
      <x:color rgb="FF111111"/>
      <x:name val="Carlito"/>
    </x:font>
    <x:font>
      <x:b/>
      <x:sz val="11"/>
      <x:name val="Arial"/>
    </x:font>
    <x:font>
      <x:b/>
      <x:sz val="11"/>
      <x:color rgb="FF111111"/>
      <x:name val="Arial"/>
    </x:font>
    <x:font>
      <x:b/>
      <x:sz val="11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566579"/>
      </x:patternFill>
    </x:fill>
    <x:fill>
      <x:patternFill patternType="solid">
        <x:fgColor rgb="FFFFF2CC"/>
      </x:patternFill>
    </x:fill>
    <x:fill>
      <x:patternFill patternType="solid">
        <x:fgColor rgb="FFE7EDF4"/>
      </x:patternFill>
    </x:fill>
  </x:fills>
  <x:borders count="3">
    <x:border/>
    <x:border>
      <x:bottom style="thin">
        <x:color rgb="FF20364D"/>
      </x:bottom>
    </x:border>
    <x:border>
      <x:top style="thin">
        <x:color rgb="FF8093A5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0" fontId="7" fillId="5" borderId="0" xfId="0" applyNumberFormat="1" applyFont="1" applyFill="1" applyBorder="1"/>
    <x:xf numFmtId="202" fontId="7" fillId="5" borderId="0" xfId="0" applyNumberFormat="1" applyFont="1" applyFill="1" applyBorder="1"/>
    <x:xf numFmtId="202" fontId="6" fillId="4" borderId="0" xfId="0" applyNumberFormat="1" applyFont="1" applyFill="1" applyBorder="1"/>
    <x:xf numFmtId="202" fontId="7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3" fontId="7" fillId="0" borderId="0" xfId="0" applyNumberFormat="1" applyFont="1" applyFill="1" applyBorder="1"/>
    <x:xf numFmtId="205" fontId="7" fillId="0" borderId="0" xfId="0" applyNumberFormat="1" applyFont="1" applyFill="1" applyBorder="1"/>
    <x:xf numFmtId="204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7" fillId="0" borderId="0" xfId="0" applyNumberFormat="1" applyFont="1" applyFill="1" applyBorder="1"/>
    <x:xf numFmtId="207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10" fillId="0" borderId="0" xfId="0" applyNumberFormat="1" applyFont="1" applyFill="1" applyBorder="1"/>
    <x:xf numFmtId="204" fontId="10" fillId="0" borderId="0" xfId="0" applyNumberFormat="1" applyFont="1" applyFill="1" applyBorder="1"/>
    <x:xf numFmtId="204" fontId="0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7" fillId="0" borderId="2" xfId="0" applyNumberFormat="1" applyFont="1" applyFill="1" applyBorder="1"/>
    <x:xf numFmtId="0" fontId="11" fillId="0" borderId="2" xfId="0" applyNumberFormat="1" applyFont="1" applyFill="1" applyBorder="1"/>
    <x:xf numFmtId="200" fontId="12" fillId="0" borderId="2" xfId="0" applyNumberFormat="1" applyFont="1" applyFill="1" applyBorder="1"/>
    <x:xf numFmtId="200" fontId="5" fillId="0" borderId="2" xfId="0" applyNumberFormat="1" applyFont="1" applyFill="1" applyBorder="1"/>
    <x:xf numFmtId="200" fontId="13" fillId="0" borderId="2" xfId="0" applyNumberFormat="1" applyFont="1" applyFill="1" applyBorder="1"/>
    <x:xf numFmtId="200" fontId="1" fillId="0" borderId="2" xfId="0" applyNumberFormat="1" applyFont="1" applyFill="1" applyBorder="1"/>
    <x:xf numFmtId="200" fontId="11" fillId="0" borderId="2" xfId="0" applyNumberFormat="1" applyFont="1" applyFill="1" applyBorder="1"/>
    <x:xf numFmtId="203" fontId="7" fillId="0" borderId="2" xfId="0" applyNumberFormat="1" applyFont="1" applyFill="1" applyBorder="1"/>
    <x:xf numFmtId="203" fontId="12" fillId="0" borderId="2" xfId="0" applyNumberFormat="1" applyFont="1" applyFill="1" applyBorder="1"/>
    <x:xf numFmtId="202" fontId="7" fillId="0" borderId="2" xfId="0" applyNumberFormat="1" applyFont="1" applyFill="1" applyBorder="1"/>
    <x:xf numFmtId="202" fontId="12" fillId="0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202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4d530bf5d4beb" /><Relationship Type="http://schemas.openxmlformats.org/officeDocument/2006/relationships/theme" Target="/xl/theme/theme1.xml" Id="R707cb90602aa4470" /><Relationship Type="http://schemas.openxmlformats.org/officeDocument/2006/relationships/sharedStrings" Target="/xl/sharedStrings.xml" Id="Rfc7afb31629441ce" /><Relationship Type="http://schemas.openxmlformats.org/officeDocument/2006/relationships/worksheet" Target="/xl/worksheets/sheet1.xml" Id="Rb4f61bfd9584447a" /><Relationship Type="http://schemas.openxmlformats.org/officeDocument/2006/relationships/worksheet" Target="/xl/worksheets/sheet2.xml" Id="Rd36b155bc6474383" /><Relationship Type="http://schemas.openxmlformats.org/officeDocument/2006/relationships/worksheet" Target="/xl/worksheets/sheet3.xml" Id="Rc56fc77dff1e49a8" /><Relationship Type="http://schemas.openxmlformats.org/officeDocument/2006/relationships/worksheet" Target="/xl/worksheets/sheet4.xml" Id="R60e1ce9dfad5403c" /><Relationship Type="http://schemas.openxmlformats.org/officeDocument/2006/relationships/worksheet" Target="/xl/worksheets/sheet5.xml" Id="R8b2aeb215d3f4ba8" /><Relationship Type="http://schemas.openxmlformats.org/officeDocument/2006/relationships/worksheet" Target="/xl/worksheets/sheet6.xml" Id="R36370f9091cc4845" /><Relationship Type="http://schemas.openxmlformats.org/officeDocument/2006/relationships/worksheet" Target="/xl/worksheets/sheet7.xml" Id="Reafd8e4fe8e84750" /><Relationship Type="http://schemas.openxmlformats.org/officeDocument/2006/relationships/worksheet" Target="/xl/worksheets/sheet8.xml" Id="R3203c3da563743b1" /><Relationship Type="http://schemas.openxmlformats.org/officeDocument/2006/relationships/worksheet" Target="/xl/worksheets/sheet9.xml" Id="R7511988d9967454c" /><Relationship Type="http://schemas.openxmlformats.org/officeDocument/2006/relationships/worksheet" Target="/xl/worksheets/sheet10.xml" Id="R79ee0a20a43346b0" /><Relationship Type="http://schemas.openxmlformats.org/officeDocument/2006/relationships/worksheet" Target="/xl/worksheets/sheet11.xml" Id="R341990a9ddc0455b" /><Relationship Type="http://schemas.openxmlformats.org/officeDocument/2006/relationships/worksheet" Target="/xl/worksheets/sheet12.xml" Id="R02c042fc34b941f8" /><Relationship Type="http://schemas.openxmlformats.org/officeDocument/2006/relationships/worksheet" Target="/xl/worksheets/sheet13.xml" Id="R2c6bd4a566e04e1f" /><Relationship Type="http://schemas.openxmlformats.org/officeDocument/2006/relationships/worksheet" Target="/xl/worksheets/sheet14.xml" Id="R4b806dc38c6c42d1" /><Relationship Type="http://schemas.openxmlformats.org/officeDocument/2006/relationships/worksheet" Target="/xl/worksheets/sheet15.xml" Id="R9edaeb1d3ab54cbe" /><Relationship Type="http://schemas.openxmlformats.org/officeDocument/2006/relationships/worksheet" Target="/xl/worksheets/sheet16.xml" Id="R8bd94e5b187340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36e7da935444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revenue and EBITDA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'Dashboard'!$C$20:$C$24</c:f>
              <c:strCache>
                <c:ptCount val="0"/>
              </c:strCache>
            </c:strRef>
          </c:cat>
          <c:val>
            <c:numRef>
              <c:f>'Dashboard'!$D$20:$D$24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'Dashboard'!$C$20:$C$24</c:f>
              <c:strCache>
                <c:ptCount val="0"/>
              </c:strCache>
            </c:strRef>
          </c:cat>
          <c:val>
            <c:numRef>
              <c:f>'Dashboard'!$E$20:$E$24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26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36e7da935444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cab95542f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Garmin acquisition underwriting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"/>
      <x:c r="D5" s="1"/>
      <x:c r="E5" s="1"/>
      <x:c r="F5" s="1"/>
      <x:c r="G5" s="1"/>
      <x:c r="H5" s="1"/>
    </x:row>
    <x:row r="6" ht="21" customHeight="1">
      <x:c r="C6" s="59" t="str">
        <x:v>Decision</x:v>
      </x:c>
      <x:c r="D6" s="12" t="str">
        <x:f>'Dashboard'!D6</x:f>
        <x:v>Do Not Proceed</x:v>
      </x:c>
      <x:c r="E6" s="2"/>
      <x:c r="F6" s="2"/>
      <x:c r="G6" s="2"/>
      <x:c r="H6" s="2"/>
    </x:row>
    <x:row r="7" ht="21" customHeight="1">
      <x:c r="C7" s="59"/>
      <x:c r="D7" s="2"/>
      <x:c r="E7" s="2"/>
      <x:c r="F7" s="2"/>
      <x:c r="G7" s="2"/>
      <x:c r="H7" s="2"/>
    </x:row>
    <x:row r="8" ht="21" customHeight="1">
      <x:c r="C8" s="59" t="str">
        <x:v>Business question</x:v>
      </x:c>
      <x:c r="D8" s="13" t="str">
        <x:v>At what entry price and capital structure does Garmin meet a 20% sponsor hurdle?</x:v>
      </x:c>
      <x:c r="E8" s="13"/>
      <x:c r="F8" s="13"/>
      <x:c r="G8" s="13"/>
      <x:c r="H8" s="13"/>
    </x:row>
    <x:row r="9" ht="21" customHeight="1">
      <x:c r="C9" s="59"/>
      <x:c r="D9" s="13"/>
      <x:c r="E9" s="13"/>
      <x:c r="F9" s="13"/>
      <x:c r="G9" s="13"/>
      <x:c r="H9" s="13"/>
    </x:row>
    <x:row r="10" ht="21" customHeight="1">
      <x:c r="C10" s="59" t="str">
        <x:v>Company</x:v>
      </x:c>
      <x:c r="D10" s="13" t="str">
        <x:v>Garmin Ltd. (GRMN); navigation, fitness and professional electronics</x:v>
      </x:c>
      <x:c r="E10" s="13"/>
      <x:c r="F10" s="13"/>
      <x:c r="G10" s="13"/>
      <x:c r="H10" s="13"/>
    </x:row>
    <x:row r="11" ht="21" customHeight="1">
      <x:c r="C11" s="59"/>
      <x:c r="D11" s="13"/>
      <x:c r="E11" s="13"/>
      <x:c r="F11" s="13"/>
      <x:c r="G11" s="13"/>
      <x:c r="H11" s="13"/>
    </x:row>
    <x:row r="12" ht="21" customHeight="1">
      <x:c r="C12" s="59" t="str">
        <x:v>Historical periods</x:v>
      </x:c>
      <x:c r="D12" s="13" t="str">
        <x:v>FY2020–FY2024; exact fiscal ends and sources in Historicals and data ledger</x:v>
      </x:c>
      <x:c r="E12" s="13"/>
      <x:c r="F12" s="13"/>
      <x:c r="G12" s="13"/>
      <x:c r="H12" s="13"/>
    </x:row>
    <x:row r="13" ht="21" customHeight="1">
      <x:c r="C13" s="59"/>
      <x:c r="D13" s="13"/>
      <x:c r="E13" s="13"/>
      <x:c r="F13" s="13"/>
      <x:c r="G13" s="13"/>
      <x:c r="H13" s="13"/>
    </x:row>
    <x:row r="14" ht="21" customHeight="1">
      <x:c r="C14" s="59" t="str">
        <x:v>Forecast periods</x:v>
      </x:c>
      <x:c r="D14" s="13" t="str">
        <x:v>FY2025–FY2029; five annual periods, year-end cash flows</x:v>
      </x:c>
      <x:c r="E14" s="13"/>
      <x:c r="F14" s="13"/>
      <x:c r="G14" s="13"/>
      <x:c r="H14" s="13"/>
    </x:row>
    <x:row r="15" ht="21" customHeight="1">
      <x:c r="C15" s="59"/>
      <x:c r="D15" s="13"/>
      <x:c r="E15" s="13"/>
      <x:c r="F15" s="13"/>
      <x:c r="G15" s="13"/>
      <x:c r="H15" s="13"/>
    </x:row>
    <x:row r="16" ht="21" customHeight="1">
      <x:c r="C16" s="59" t="str">
        <x:v>Controls</x:v>
      </x:c>
      <x:c r="D16" s="13" t="str">
        <x:v>Assumptions D6 selects base/upside/downside. Yellow/blue cells are editable.</x:v>
      </x:c>
      <x:c r="E16" s="13"/>
      <x:c r="F16" s="13"/>
      <x:c r="G16" s="13"/>
      <x:c r="H16" s="13"/>
    </x:row>
    <x:row r="17" ht="21" customHeight="1">
      <x:c r="C17" s="59"/>
      <x:c r="D17" s="13"/>
      <x:c r="E17" s="13"/>
      <x:c r="F17" s="13"/>
      <x:c r="G17" s="13"/>
      <x:c r="H17" s="13"/>
    </x:row>
    <x:row r="18" ht="21" customHeight="1">
      <x:c r="C18" s="59" t="str">
        <x:v>Formula convention</x:v>
      </x:c>
      <x:c r="D18" s="13" t="str">
        <x:v>Black = local calculation; green = linked formula; blue = input.</x:v>
      </x:c>
      <x:c r="E18" s="13"/>
      <x:c r="F18" s="13"/>
      <x:c r="G18" s="13"/>
      <x:c r="H18" s="13"/>
    </x:row>
    <x:row r="19" ht="21" customHeight="1">
      <x:c r="C19" s="59"/>
      <x:c r="D19" s="13"/>
      <x:c r="E19" s="13"/>
      <x:c r="F19" s="13"/>
      <x:c r="G19" s="13"/>
      <x:c r="H19" s="13"/>
    </x:row>
    <x:row r="20" ht="21" customHeight="1">
      <x:c r="C20" s="59" t="str">
        <x:v>Recalculation</x:v>
      </x:c>
      <x:c r="D20" s="13" t="str">
        <x:v>All forecast statements, DCF, LBO and sensitivities recalculate in Excel.</x:v>
      </x:c>
      <x:c r="E20" s="13"/>
      <x:c r="F20" s="13"/>
      <x:c r="G20" s="13"/>
      <x:c r="H20" s="13"/>
    </x:row>
    <x:row r="21" ht="21" customHeight="1">
      <x:c r="C21" s="59"/>
      <x:c r="D21" s="13"/>
      <x:c r="E21" s="13"/>
      <x:c r="F21" s="13"/>
      <x:c r="G21" s="13"/>
      <x:c r="H21" s="13"/>
    </x:row>
    <x:row r="22" ht="21" customHeight="1">
      <x:c r="C22" s="59" t="str">
        <x:v>DCF control</x:v>
      </x:c>
      <x:c r="D22" s="13" t="str">
        <x:v>DCF D28: 1 = Gordon growth; 2 = exit multiple.</x:v>
      </x:c>
      <x:c r="E22" s="13"/>
      <x:c r="F22" s="13"/>
      <x:c r="G22" s="13"/>
      <x:c r="H22" s="13"/>
    </x:row>
    <x:row r="23" ht="21" customHeight="1">
      <x:c r="C23" s="59"/>
      <x:c r="D23" s="13"/>
      <x:c r="E23" s="13"/>
      <x:c r="F23" s="13"/>
      <x:c r="G23" s="13"/>
      <x:c r="H23" s="13"/>
    </x:row>
    <x:row r="24" ht="21" customHeight="1">
      <x:c r="C24" s="59" t="str">
        <x:v>Entry price</x:v>
      </x:c>
      <x:c r="D24" s="13" t="str">
        <x:v>LBO D6 is an editable EV. Goal Seek LBO D45 to target IRR by changing D6.</x:v>
      </x:c>
      <x:c r="E24" s="13"/>
      <x:c r="F24" s="13"/>
      <x:c r="G24" s="13"/>
      <x:c r="H24" s="13"/>
    </x:row>
    <x:row r="25" ht="21" customHeight="1">
      <x:c r="C25" s="59"/>
      <x:c r="D25" s="13"/>
      <x:c r="E25" s="13"/>
      <x:c r="F25" s="13"/>
      <x:c r="G25" s="13"/>
      <x:c r="H25" s="13"/>
    </x:row>
    <x:row r="26" ht="21" customHeight="1">
      <x:c r="C26" s="59" t="str">
        <x:v>Limitations</x:v>
      </x:c>
      <x:c r="D26" s="13" t="str">
        <x:v>No synergies, purchase accounting, exit fees or tax leakage; operating leases excluded from debt.</x:v>
      </x:c>
      <x:c r="E26" s="13"/>
      <x:c r="F26" s="13"/>
      <x:c r="G26" s="13"/>
      <x:c r="H26" s="13"/>
    </x:row>
    <x:row r="27" ht="21" customHeight="1">
      <x:c r="C27" s="59"/>
      <x:c r="D27" s="13"/>
      <x:c r="E27" s="13"/>
      <x:c r="F27" s="13"/>
      <x:c r="G27" s="13"/>
      <x:c r="H27" s="13"/>
    </x:row>
    <x:row r="28" ht="21" customHeight="1">
      <x:c r="C28" s="59" t="str">
        <x:v>Source 1</x:v>
      </x:c>
      <x:c r="D28" s="13" t="str">
        <x:v>https://www.sec.gov/Archives/edgar/data/1121788/000095017025022760/grmn-20241228.htm</x:v>
      </x:c>
      <x:c r="E28" s="13"/>
      <x:c r="F28" s="13"/>
      <x:c r="G28" s="13"/>
      <x:c r="H28" s="13"/>
    </x:row>
    <x:row r="29" ht="21" customHeight="1">
      <x:c r="C29" s="59"/>
      <x:c r="D29" s="13"/>
      <x:c r="E29" s="13"/>
      <x:c r="F29" s="13"/>
      <x:c r="G29" s="13"/>
      <x:c r="H29" s="13"/>
    </x:row>
    <x:row r="30" ht="21" customHeight="1">
      <x:c r="C30" s="59" t="str">
        <x:v>Source 2</x:v>
      </x:c>
      <x:c r="D30" s="13" t="str">
        <x:v>https://www.garmin.com/en-US/newsroom/wp-content/uploads/2025/02/2024-Q4-GRMN-Earnings-Release_Final.pdf</x:v>
      </x:c>
      <x:c r="E30" s="13"/>
      <x:c r="F30" s="13"/>
      <x:c r="G30" s="13"/>
      <x:c r="H30" s="13"/>
    </x:row>
    <x:row r="31" ht="21" customHeight="1">
      <x:c r="C31" s="59"/>
      <x:c r="D31" s="13"/>
      <x:c r="E31" s="13"/>
      <x:c r="F31" s="13"/>
      <x:c r="G31" s="13"/>
      <x:c r="H31" s="13"/>
    </x:row>
    <x:row r="32" ht="21" customHeight="1">
      <x:c r="C32" s="59" t="str">
        <x:v>Audit trail</x:v>
      </x:c>
      <x:c r="D32" s="13" t="str">
        <x:v>SEC field-level accession ledger: data/processed/provenance.csv</x:v>
      </x:c>
      <x:c r="E32" s="13"/>
      <x:c r="F32" s="13"/>
      <x:c r="G32" s="13"/>
      <x:c r="H32" s="13"/>
    </x:row>
    <x:row r="33" ht="21" customHeight="1">
      <x:c r="C33" s="59"/>
      <x:c r="D33" s="13"/>
      <x:c r="E33" s="13"/>
      <x:c r="F33" s="13"/>
      <x:c r="G33" s="13"/>
      <x:c r="H33" s="13"/>
    </x:row>
    <x:row r="34" ht="21" customHeight="1">
      <x:c r="C34" s="59" t="str">
        <x:v>Peer source</x:v>
      </x:c>
      <x:c r="D34" s="13" t="str">
        <x:v>SEC companyfacts CIK1032975 (LOGI) and CIK931015 (PII), cutoff 2025-02-28</x:v>
      </x:c>
      <x:c r="E34" s="13"/>
      <x:c r="F34" s="13"/>
      <x:c r="G34" s="13"/>
      <x:c r="H34" s="13"/>
    </x:row>
    <x:row r="35" ht="21" customHeight="1">
      <x:c r="C35" s="59"/>
      <x:c r="D35" s="13"/>
      <x:c r="E35" s="13"/>
      <x:c r="F35" s="13"/>
      <x:c r="G35" s="13"/>
      <x:c r="H35" s="13"/>
    </x:row>
    <x:row r="36" ht="21" customHeight="1">
      <x:c r="C36" s="59" t="str">
        <x:v>Market source</x:v>
      </x:c>
      <x:c r="D36" s="13" t="str">
        <x:v>https://query1.finance.yahoo.com/v8/finance/chart/GRMN</x:v>
      </x:c>
      <x:c r="E36" s="13"/>
      <x:c r="F36" s="13"/>
      <x:c r="G36" s="13"/>
      <x:c r="H36" s="13"/>
    </x:row>
    <x:row r="37" ht="21" customHeight="1">
      <x:c r="C37" s="59"/>
      <x:c r="D37" s="13"/>
      <x:c r="E37" s="13"/>
      <x:c r="F37" s="13"/>
      <x:c r="G37" s="13"/>
      <x:c r="H37" s="13"/>
    </x:row>
    <x:row r="38" ht="21" customHeight="1">
      <x:c r="C38" s="59" t="str">
        <x:v>Market date</x:v>
      </x:c>
      <x:c r="D38" s="13" t="str">
        <x:v>2025-02-28; unadjusted close, fiscal-end shares; no current metadata used</x:v>
      </x:c>
      <x:c r="E38" s="13"/>
      <x:c r="F38" s="13"/>
      <x:c r="G38" s="13"/>
      <x:c r="H38" s="13"/>
    </x:row>
    <x:row r="39" ht="21" customHeight="1">
      <x:c r="C39" s="59"/>
      <x:c r="D39" s="13"/>
      <x:c r="E39" s="13"/>
      <x:c r="F39" s="13"/>
      <x:c r="G39" s="13"/>
      <x:c r="H39" s="13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mergeCells>
    <x:mergeCell ref="D8:H9"/>
    <x:mergeCell ref="D10:H11"/>
    <x:mergeCell ref="D12:H13"/>
    <x:mergeCell ref="D14:H15"/>
    <x:mergeCell ref="D16:H17"/>
    <x:mergeCell ref="D18:H19"/>
    <x:mergeCell ref="D20:H21"/>
    <x:mergeCell ref="D22:H23"/>
    <x:mergeCell ref="D24:H25"/>
    <x:mergeCell ref="D26:H27"/>
    <x:mergeCell ref="D28:H29"/>
    <x:mergeCell ref="D30:H31"/>
    <x:mergeCell ref="D32:H33"/>
    <x:mergeCell ref="D34:H35"/>
    <x:mergeCell ref="D36:H37"/>
    <x:mergeCell ref="D38:H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Assumptions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Selected case: 1 base / 2 up / 3 down</x:v>
      </x:c>
      <x:c r="D6" s="17" t="n">
        <x:v>1</x:v>
      </x:c>
      <x:c r="E6" s="2"/>
      <x:c r="F6" s="2"/>
      <x:c r="G6" s="2"/>
      <x:c r="H6" s="2"/>
    </x:row>
    <x:row r="7" ht="21" customHeight="1">
      <x:c r="C7" s="59"/>
      <x:c r="D7" s="2"/>
      <x:c r="E7" s="2"/>
      <x:c r="F7" s="2"/>
      <x:c r="G7" s="2"/>
      <x:c r="H7" s="2"/>
    </x:row>
    <x:row r="8" ht="21" customHeight="1">
      <x:c r="C8" s="59"/>
      <x:c r="D8" s="2"/>
      <x:c r="E8" s="2"/>
      <x:c r="F8" s="2"/>
      <x:c r="G8" s="2"/>
      <x:c r="H8" s="2"/>
    </x:row>
    <x:row r="9" ht="32" customHeight="1">
      <x:c r="C9" s="60" t="str">
        <x:v>growth shift — selected</x:v>
      </x:c>
      <x:c r="D9" s="21" t="n">
        <x:f>CHOOSE($D$6,D10,D11,D12)</x:f>
        <x:v>0</x:v>
      </x:c>
      <x:c r="E9" s="21" t="n">
        <x:f>CHOOSE($D$6,E10,E11,E12)</x:f>
        <x:v>0</x:v>
      </x:c>
      <x:c r="F9" s="21" t="n">
        <x:f>CHOOSE($D$6,F10,F11,F12)</x:f>
        <x:v>0</x:v>
      </x:c>
      <x:c r="G9" s="21" t="n">
        <x:f>CHOOSE($D$6,G10,G11,G12)</x:f>
        <x:v>0</x:v>
      </x:c>
      <x:c r="H9" s="21" t="n">
        <x:f>CHOOSE($D$6,H10,H11,H12)</x:f>
        <x:v>0</x:v>
      </x:c>
    </x:row>
    <x:row r="10" ht="21" customHeight="1">
      <x:c r="C10" s="59" t="str">
        <x:v>base</x:v>
      </x:c>
      <x:c r="D10" s="22" t="n">
        <x:v>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</x:row>
    <x:row r="11" ht="21" customHeight="1">
      <x:c r="C11" s="59" t="str">
        <x:v>upside</x:v>
      </x:c>
      <x:c r="D11" s="22" t="n">
        <x:v>0.03</x:v>
      </x:c>
      <x:c r="E11" s="22" t="n">
        <x:v>0.03</x:v>
      </x:c>
      <x:c r="F11" s="22" t="n">
        <x:v>0.03</x:v>
      </x:c>
      <x:c r="G11" s="22" t="n">
        <x:v>0.03</x:v>
      </x:c>
      <x:c r="H11" s="22" t="n">
        <x:v>0.03</x:v>
      </x:c>
    </x:row>
    <x:row r="12" ht="21" customHeight="1">
      <x:c r="C12" s="59" t="str">
        <x:v>downside</x:v>
      </x:c>
      <x:c r="D12" s="22" t="n">
        <x:v>-0.06</x:v>
      </x:c>
      <x:c r="E12" s="22" t="n">
        <x:v>-0.06</x:v>
      </x:c>
      <x:c r="F12" s="22" t="n">
        <x:v>-0.06</x:v>
      </x:c>
      <x:c r="G12" s="22" t="n">
        <x:v>-0.06</x:v>
      </x:c>
      <x:c r="H12" s="22" t="n">
        <x:v>-0.06</x:v>
      </x:c>
    </x:row>
    <x:row r="13" ht="21" customHeight="1">
      <x:c r="C13" s="59"/>
      <x:c r="D13" s="2"/>
      <x:c r="E13" s="2"/>
      <x:c r="F13" s="2"/>
      <x:c r="G13" s="2"/>
      <x:c r="H13" s="2"/>
    </x:row>
    <x:row r="14" ht="32" customHeight="1">
      <x:c r="C14" s="60" t="str">
        <x:v>margin shift — selected</x:v>
      </x:c>
      <x:c r="D14" s="21" t="n">
        <x:f>CHOOSE($D$6,D15,D16,D17)</x:f>
        <x:v>0</x:v>
      </x:c>
      <x:c r="E14" s="21" t="n">
        <x:f>CHOOSE($D$6,E15,E16,E17)</x:f>
        <x:v>0</x:v>
      </x:c>
      <x:c r="F14" s="21" t="n">
        <x:f>CHOOSE($D$6,F15,F16,F17)</x:f>
        <x:v>0</x:v>
      </x:c>
      <x:c r="G14" s="21" t="n">
        <x:f>CHOOSE($D$6,G15,G16,G17)</x:f>
        <x:v>0</x:v>
      </x:c>
      <x:c r="H14" s="21" t="n">
        <x:f>CHOOSE($D$6,H15,H16,H17)</x:f>
        <x:v>0</x:v>
      </x:c>
    </x:row>
    <x:row r="15" ht="21" customHeight="1">
      <x:c r="C15" s="59" t="str">
        <x:v>base</x:v>
      </x:c>
      <x:c r="D15" s="22" t="n">
        <x:v>0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</x:row>
    <x:row r="16" ht="21" customHeight="1">
      <x:c r="C16" s="59" t="str">
        <x:v>upside</x:v>
      </x:c>
      <x:c r="D16" s="22" t="n">
        <x:v>0.02</x:v>
      </x:c>
      <x:c r="E16" s="22" t="n">
        <x:v>0.02</x:v>
      </x:c>
      <x:c r="F16" s="22" t="n">
        <x:v>0.02</x:v>
      </x:c>
      <x:c r="G16" s="22" t="n">
        <x:v>0.02</x:v>
      </x:c>
      <x:c r="H16" s="22" t="n">
        <x:v>0.02</x:v>
      </x:c>
    </x:row>
    <x:row r="17" ht="21" customHeight="1">
      <x:c r="C17" s="59" t="str">
        <x:v>downside</x:v>
      </x:c>
      <x:c r="D17" s="22" t="n">
        <x:v>-0.04</x:v>
      </x:c>
      <x:c r="E17" s="22" t="n">
        <x:v>-0.04</x:v>
      </x:c>
      <x:c r="F17" s="22" t="n">
        <x:v>-0.04</x:v>
      </x:c>
      <x:c r="G17" s="22" t="n">
        <x:v>-0.04</x:v>
      </x:c>
      <x:c r="H17" s="22" t="n">
        <x:v>-0.04</x:v>
      </x:c>
    </x:row>
    <x:row r="18" ht="21" customHeight="1">
      <x:c r="C18" s="59"/>
      <x:c r="D18" s="2"/>
      <x:c r="E18" s="2"/>
      <x:c r="F18" s="2"/>
      <x:c r="G18" s="2"/>
      <x:c r="H18" s="2"/>
    </x:row>
    <x:row r="19" ht="32" customHeight="1">
      <x:c r="C19" s="60" t="str">
        <x:v>cogs ratio — selected</x:v>
      </x:c>
      <x:c r="D19" s="21" t="n">
        <x:f>CHOOSE($D$6,D20,D21,D22)</x:f>
        <x:v>0.413</x:v>
      </x:c>
      <x:c r="E19" s="21" t="n">
        <x:f>CHOOSE($D$6,E20,E21,E22)</x:f>
        <x:v>0.413</x:v>
      </x:c>
      <x:c r="F19" s="21" t="n">
        <x:f>CHOOSE($D$6,F20,F21,F22)</x:f>
        <x:v>0.413</x:v>
      </x:c>
      <x:c r="G19" s="21" t="n">
        <x:f>CHOOSE($D$6,G20,G21,G22)</x:f>
        <x:v>0.413</x:v>
      </x:c>
      <x:c r="H19" s="21" t="n">
        <x:f>CHOOSE($D$6,H20,H21,H22)</x:f>
        <x:v>0.413</x:v>
      </x:c>
    </x:row>
    <x:row r="20" ht="21" customHeight="1">
      <x:c r="C20" s="59" t="str">
        <x:v>base</x:v>
      </x:c>
      <x:c r="D20" s="22" t="n">
        <x:v>0.413</x:v>
      </x:c>
      <x:c r="E20" s="22" t="n">
        <x:v>0.413</x:v>
      </x:c>
      <x:c r="F20" s="22" t="n">
        <x:v>0.413</x:v>
      </x:c>
      <x:c r="G20" s="22" t="n">
        <x:v>0.413</x:v>
      </x:c>
      <x:c r="H20" s="22" t="n">
        <x:v>0.413</x:v>
      </x:c>
    </x:row>
    <x:row r="21" ht="21" customHeight="1">
      <x:c r="C21" s="59" t="str">
        <x:v>upside</x:v>
      </x:c>
      <x:c r="D21" s="22" t="n">
        <x:v>0.413</x:v>
      </x:c>
      <x:c r="E21" s="22" t="n">
        <x:v>0.413</x:v>
      </x:c>
      <x:c r="F21" s="22" t="n">
        <x:v>0.413</x:v>
      </x:c>
      <x:c r="G21" s="22" t="n">
        <x:v>0.413</x:v>
      </x:c>
      <x:c r="H21" s="22" t="n">
        <x:v>0.413</x:v>
      </x:c>
    </x:row>
    <x:row r="22" ht="21" customHeight="1">
      <x:c r="C22" s="59" t="str">
        <x:v>downside</x:v>
      </x:c>
      <x:c r="D22" s="22" t="n">
        <x:v>0.413</x:v>
      </x:c>
      <x:c r="E22" s="22" t="n">
        <x:v>0.413</x:v>
      </x:c>
      <x:c r="F22" s="22" t="n">
        <x:v>0.413</x:v>
      </x:c>
      <x:c r="G22" s="22" t="n">
        <x:v>0.413</x:v>
      </x:c>
      <x:c r="H22" s="22" t="n">
        <x:v>0.413</x:v>
      </x:c>
    </x:row>
    <x:row r="23" ht="21" customHeight="1">
      <x:c r="C23" s="59"/>
      <x:c r="D23" s="2"/>
      <x:c r="E23" s="2"/>
      <x:c r="F23" s="2"/>
      <x:c r="G23" s="2"/>
      <x:c r="H23" s="2"/>
    </x:row>
    <x:row r="24" ht="32" customHeight="1">
      <x:c r="C24" s="60" t="str">
        <x:v>rd ratio — selected</x:v>
      </x:c>
      <x:c r="D24" s="21" t="n">
        <x:f>CHOOSE($D$6,D25,D26,D27)</x:f>
        <x:v>0.158</x:v>
      </x:c>
      <x:c r="E24" s="21" t="n">
        <x:f>CHOOSE($D$6,E25,E26,E27)</x:f>
        <x:v>0.158</x:v>
      </x:c>
      <x:c r="F24" s="21" t="n">
        <x:f>CHOOSE($D$6,F25,F26,F27)</x:f>
        <x:v>0.158</x:v>
      </x:c>
      <x:c r="G24" s="21" t="n">
        <x:f>CHOOSE($D$6,G25,G26,G27)</x:f>
        <x:v>0.158</x:v>
      </x:c>
      <x:c r="H24" s="21" t="n">
        <x:f>CHOOSE($D$6,H25,H26,H27)</x:f>
        <x:v>0.158</x:v>
      </x:c>
    </x:row>
    <x:row r="25" ht="21" customHeight="1">
      <x:c r="C25" s="59" t="str">
        <x:v>base</x:v>
      </x:c>
      <x:c r="D25" s="22" t="n">
        <x:v>0.158</x:v>
      </x:c>
      <x:c r="E25" s="22" t="n">
        <x:v>0.158</x:v>
      </x:c>
      <x:c r="F25" s="22" t="n">
        <x:v>0.158</x:v>
      </x:c>
      <x:c r="G25" s="22" t="n">
        <x:v>0.158</x:v>
      </x:c>
      <x:c r="H25" s="22" t="n">
        <x:v>0.158</x:v>
      </x:c>
    </x:row>
    <x:row r="26" ht="21" customHeight="1">
      <x:c r="C26" s="59" t="str">
        <x:v>upside</x:v>
      </x:c>
      <x:c r="D26" s="22" t="n">
        <x:v>0.158</x:v>
      </x:c>
      <x:c r="E26" s="22" t="n">
        <x:v>0.158</x:v>
      </x:c>
      <x:c r="F26" s="22" t="n">
        <x:v>0.158</x:v>
      </x:c>
      <x:c r="G26" s="22" t="n">
        <x:v>0.158</x:v>
      </x:c>
      <x:c r="H26" s="22" t="n">
        <x:v>0.158</x:v>
      </x:c>
    </x:row>
    <x:row r="27" ht="21" customHeight="1">
      <x:c r="C27" s="59" t="str">
        <x:v>downside</x:v>
      </x:c>
      <x:c r="D27" s="22" t="n">
        <x:v>0.158</x:v>
      </x:c>
      <x:c r="E27" s="22" t="n">
        <x:v>0.158</x:v>
      </x:c>
      <x:c r="F27" s="22" t="n">
        <x:v>0.158</x:v>
      </x:c>
      <x:c r="G27" s="22" t="n">
        <x:v>0.158</x:v>
      </x:c>
      <x:c r="H27" s="22" t="n">
        <x:v>0.158</x:v>
      </x:c>
    </x:row>
    <x:row r="28" ht="21" customHeight="1">
      <x:c r="C28" s="59"/>
      <x:c r="D28" s="2"/>
      <x:c r="E28" s="2"/>
      <x:c r="F28" s="2"/>
      <x:c r="G28" s="2"/>
      <x:c r="H28" s="2"/>
    </x:row>
    <x:row r="29" ht="32" customHeight="1">
      <x:c r="C29" s="60" t="str">
        <x:v>cash sga ratio — selected</x:v>
      </x:c>
      <x:c r="D29" s="21" t="n">
        <x:f>CHOOSE($D$6,D30,D31,D32)</x:f>
        <x:v>0.149</x:v>
      </x:c>
      <x:c r="E29" s="21" t="n">
        <x:f>CHOOSE($D$6,E30,E31,E32)</x:f>
        <x:v>0.149</x:v>
      </x:c>
      <x:c r="F29" s="21" t="n">
        <x:f>CHOOSE($D$6,F30,F31,F32)</x:f>
        <x:v>0.149</x:v>
      </x:c>
      <x:c r="G29" s="21" t="n">
        <x:f>CHOOSE($D$6,G30,G31,G32)</x:f>
        <x:v>0.149</x:v>
      </x:c>
      <x:c r="H29" s="21" t="n">
        <x:f>CHOOSE($D$6,H30,H31,H32)</x:f>
        <x:v>0.149</x:v>
      </x:c>
    </x:row>
    <x:row r="30" ht="21" customHeight="1">
      <x:c r="C30" s="59" t="str">
        <x:v>base</x:v>
      </x:c>
      <x:c r="D30" s="22" t="n">
        <x:v>0.149</x:v>
      </x:c>
      <x:c r="E30" s="22" t="n">
        <x:v>0.149</x:v>
      </x:c>
      <x:c r="F30" s="22" t="n">
        <x:v>0.149</x:v>
      </x:c>
      <x:c r="G30" s="22" t="n">
        <x:v>0.149</x:v>
      </x:c>
      <x:c r="H30" s="22" t="n">
        <x:v>0.149</x:v>
      </x:c>
    </x:row>
    <x:row r="31" ht="21" customHeight="1">
      <x:c r="C31" s="59" t="str">
        <x:v>upside</x:v>
      </x:c>
      <x:c r="D31" s="22" t="n">
        <x:v>0.149</x:v>
      </x:c>
      <x:c r="E31" s="22" t="n">
        <x:v>0.149</x:v>
      </x:c>
      <x:c r="F31" s="22" t="n">
        <x:v>0.149</x:v>
      </x:c>
      <x:c r="G31" s="22" t="n">
        <x:v>0.149</x:v>
      </x:c>
      <x:c r="H31" s="22" t="n">
        <x:v>0.149</x:v>
      </x:c>
    </x:row>
    <x:row r="32" ht="21" customHeight="1">
      <x:c r="C32" s="59" t="str">
        <x:v>downside</x:v>
      </x:c>
      <x:c r="D32" s="22" t="n">
        <x:v>0.149</x:v>
      </x:c>
      <x:c r="E32" s="22" t="n">
        <x:v>0.149</x:v>
      </x:c>
      <x:c r="F32" s="22" t="n">
        <x:v>0.149</x:v>
      </x:c>
      <x:c r="G32" s="22" t="n">
        <x:v>0.149</x:v>
      </x:c>
      <x:c r="H32" s="22" t="n">
        <x:v>0.149</x:v>
      </x:c>
    </x:row>
    <x:row r="33" ht="21" customHeight="1">
      <x:c r="C33" s="59"/>
      <x:c r="D33" s="2"/>
      <x:c r="E33" s="2"/>
      <x:c r="F33" s="2"/>
      <x:c r="G33" s="2"/>
      <x:c r="H33" s="2"/>
    </x:row>
    <x:row r="34" ht="32" customHeight="1">
      <x:c r="C34" s="60" t="str">
        <x:v>capex ratio — selected</x:v>
      </x:c>
      <x:c r="D34" s="21" t="n">
        <x:f>CHOOSE($D$6,D35,D36,D37)</x:f>
        <x:v>0.035</x:v>
      </x:c>
      <x:c r="E34" s="21" t="n">
        <x:f>CHOOSE($D$6,E35,E36,E37)</x:f>
        <x:v>0.035</x:v>
      </x:c>
      <x:c r="F34" s="21" t="n">
        <x:f>CHOOSE($D$6,F35,F36,F37)</x:f>
        <x:v>0.035</x:v>
      </x:c>
      <x:c r="G34" s="21" t="n">
        <x:f>CHOOSE($D$6,G35,G36,G37)</x:f>
        <x:v>0.035</x:v>
      </x:c>
      <x:c r="H34" s="21" t="n">
        <x:f>CHOOSE($D$6,H35,H36,H37)</x:f>
        <x:v>0.035</x:v>
      </x:c>
    </x:row>
    <x:row r="35" ht="21" customHeight="1">
      <x:c r="C35" s="59" t="str">
        <x:v>base</x:v>
      </x:c>
      <x:c r="D35" s="22" t="n">
        <x:v>0.035</x:v>
      </x:c>
      <x:c r="E35" s="22" t="n">
        <x:v>0.035</x:v>
      </x:c>
      <x:c r="F35" s="22" t="n">
        <x:v>0.035</x:v>
      </x:c>
      <x:c r="G35" s="22" t="n">
        <x:v>0.035</x:v>
      </x:c>
      <x:c r="H35" s="22" t="n">
        <x:v>0.035</x:v>
      </x:c>
    </x:row>
    <x:row r="36" ht="21" customHeight="1">
      <x:c r="C36" s="59" t="str">
        <x:v>upside</x:v>
      </x:c>
      <x:c r="D36" s="22" t="n">
        <x:v>0.035</x:v>
      </x:c>
      <x:c r="E36" s="22" t="n">
        <x:v>0.035</x:v>
      </x:c>
      <x:c r="F36" s="22" t="n">
        <x:v>0.035</x:v>
      </x:c>
      <x:c r="G36" s="22" t="n">
        <x:v>0.035</x:v>
      </x:c>
      <x:c r="H36" s="22" t="n">
        <x:v>0.035</x:v>
      </x:c>
    </x:row>
    <x:row r="37" ht="21" customHeight="1">
      <x:c r="C37" s="59" t="str">
        <x:v>downside</x:v>
      </x:c>
      <x:c r="D37" s="22" t="n">
        <x:v>0.045</x:v>
      </x:c>
      <x:c r="E37" s="22" t="n">
        <x:v>0.045</x:v>
      </x:c>
      <x:c r="F37" s="22" t="n">
        <x:v>0.045</x:v>
      </x:c>
      <x:c r="G37" s="22" t="n">
        <x:v>0.045</x:v>
      </x:c>
      <x:c r="H37" s="22" t="n">
        <x:v>0.045</x:v>
      </x:c>
    </x:row>
    <x:row r="38" ht="21" customHeight="1">
      <x:c r="C38" s="59"/>
      <x:c r="D38" s="2"/>
      <x:c r="E38" s="2"/>
      <x:c r="F38" s="2"/>
      <x:c r="G38" s="2"/>
      <x:c r="H38" s="2"/>
    </x:row>
    <x:row r="39" ht="32" customHeight="1">
      <x:c r="C39" s="60" t="str">
        <x:v>depreciation rate — selected</x:v>
      </x:c>
      <x:c r="D39" s="21" t="n">
        <x:f>CHOOSE($D$6,D40,D41,D42)</x:f>
        <x:v>0.11</x:v>
      </x:c>
      <x:c r="E39" s="21" t="n">
        <x:f>CHOOSE($D$6,E40,E41,E42)</x:f>
        <x:v>0.11</x:v>
      </x:c>
      <x:c r="F39" s="21" t="n">
        <x:f>CHOOSE($D$6,F40,F41,F42)</x:f>
        <x:v>0.11</x:v>
      </x:c>
      <x:c r="G39" s="21" t="n">
        <x:f>CHOOSE($D$6,G40,G41,G42)</x:f>
        <x:v>0.11</x:v>
      </x:c>
      <x:c r="H39" s="21" t="n">
        <x:f>CHOOSE($D$6,H40,H41,H42)</x:f>
        <x:v>0.11</x:v>
      </x:c>
    </x:row>
    <x:row r="40" ht="21" customHeight="1">
      <x:c r="C40" s="59" t="str">
        <x:v>base</x:v>
      </x:c>
      <x:c r="D40" s="22" t="n">
        <x:v>0.11</x:v>
      </x:c>
      <x:c r="E40" s="22" t="n">
        <x:v>0.11</x:v>
      </x:c>
      <x:c r="F40" s="22" t="n">
        <x:v>0.11</x:v>
      </x:c>
      <x:c r="G40" s="22" t="n">
        <x:v>0.11</x:v>
      </x:c>
      <x:c r="H40" s="22" t="n">
        <x:v>0.11</x:v>
      </x:c>
    </x:row>
    <x:row r="41" ht="21" customHeight="1">
      <x:c r="C41" s="59" t="str">
        <x:v>upside</x:v>
      </x:c>
      <x:c r="D41" s="22" t="n">
        <x:v>0.11</x:v>
      </x:c>
      <x:c r="E41" s="22" t="n">
        <x:v>0.11</x:v>
      </x:c>
      <x:c r="F41" s="22" t="n">
        <x:v>0.11</x:v>
      </x:c>
      <x:c r="G41" s="22" t="n">
        <x:v>0.11</x:v>
      </x:c>
      <x:c r="H41" s="22" t="n">
        <x:v>0.11</x:v>
      </x:c>
    </x:row>
    <x:row r="42" ht="21" customHeight="1">
      <x:c r="C42" s="59" t="str">
        <x:v>downside</x:v>
      </x:c>
      <x:c r="D42" s="22" t="n">
        <x:v>0.11</x:v>
      </x:c>
      <x:c r="E42" s="22" t="n">
        <x:v>0.11</x:v>
      </x:c>
      <x:c r="F42" s="22" t="n">
        <x:v>0.11</x:v>
      </x:c>
      <x:c r="G42" s="22" t="n">
        <x:v>0.11</x:v>
      </x:c>
      <x:c r="H42" s="22" t="n">
        <x:v>0.11</x:v>
      </x:c>
    </x:row>
    <x:row r="43" ht="21" customHeight="1">
      <x:c r="C43" s="59"/>
      <x:c r="D43" s="2"/>
      <x:c r="E43" s="2"/>
      <x:c r="F43" s="2"/>
      <x:c r="G43" s="2"/>
      <x:c r="H43" s="2"/>
    </x:row>
    <x:row r="44" ht="32" customHeight="1">
      <x:c r="C44" s="60" t="str">
        <x:v>amortization — selected</x:v>
      </x:c>
      <x:c r="D44" s="20" t="n">
        <x:f>CHOOSE($D$6,D45,D46,D47)</x:f>
        <x:v>30.666</x:v>
      </x:c>
      <x:c r="E44" s="20" t="n">
        <x:f>CHOOSE($D$6,E45,E46,E47)</x:f>
        <x:v>30.666</x:v>
      </x:c>
      <x:c r="F44" s="20" t="n">
        <x:f>CHOOSE($D$6,F45,F46,F47)</x:f>
        <x:v>30.666</x:v>
      </x:c>
      <x:c r="G44" s="20" t="n">
        <x:f>CHOOSE($D$6,G45,G46,G47)</x:f>
        <x:v>30.666</x:v>
      </x:c>
      <x:c r="H44" s="20" t="n">
        <x:f>CHOOSE($D$6,H45,H46,H47)</x:f>
        <x:v>30.666</x:v>
      </x:c>
    </x:row>
    <x:row r="45" ht="21" customHeight="1">
      <x:c r="C45" s="59" t="str">
        <x:v>base</x:v>
      </x:c>
      <x:c r="D45" s="16" t="n">
        <x:v>30.666</x:v>
      </x:c>
      <x:c r="E45" s="16" t="n">
        <x:v>30.666</x:v>
      </x:c>
      <x:c r="F45" s="16" t="n">
        <x:v>30.666</x:v>
      </x:c>
      <x:c r="G45" s="16" t="n">
        <x:v>30.666</x:v>
      </x:c>
      <x:c r="H45" s="16" t="n">
        <x:v>30.666</x:v>
      </x:c>
    </x:row>
    <x:row r="46" ht="21" customHeight="1">
      <x:c r="C46" s="59" t="str">
        <x:v>upside</x:v>
      </x:c>
      <x:c r="D46" s="16" t="n">
        <x:v>30.666</x:v>
      </x:c>
      <x:c r="E46" s="16" t="n">
        <x:v>30.666</x:v>
      </x:c>
      <x:c r="F46" s="16" t="n">
        <x:v>30.666</x:v>
      </x:c>
      <x:c r="G46" s="16" t="n">
        <x:v>30.666</x:v>
      </x:c>
      <x:c r="H46" s="16" t="n">
        <x:v>30.666</x:v>
      </x:c>
    </x:row>
    <x:row r="47" ht="21" customHeight="1">
      <x:c r="C47" s="59" t="str">
        <x:v>downside</x:v>
      </x:c>
      <x:c r="D47" s="16" t="n">
        <x:v>30.666</x:v>
      </x:c>
      <x:c r="E47" s="16" t="n">
        <x:v>30.666</x:v>
      </x:c>
      <x:c r="F47" s="16" t="n">
        <x:v>30.666</x:v>
      </x:c>
      <x:c r="G47" s="16" t="n">
        <x:v>30.666</x:v>
      </x:c>
      <x:c r="H47" s="16" t="n">
        <x:v>30.666</x:v>
      </x:c>
    </x:row>
    <x:row r="48" ht="21" customHeight="1">
      <x:c r="C48" s="59"/>
      <x:c r="D48" s="2"/>
      <x:c r="E48" s="2"/>
      <x:c r="F48" s="2"/>
      <x:c r="G48" s="2"/>
      <x:c r="H48" s="2"/>
    </x:row>
    <x:row r="49" ht="32" customHeight="1">
      <x:c r="C49" s="60" t="str">
        <x:v>dso — selected</x:v>
      </x:c>
      <x:c r="D49" s="20" t="n">
        <x:f>CHOOSE($D$6,D50,D51,D52)</x:f>
        <x:v>57</x:v>
      </x:c>
      <x:c r="E49" s="20" t="n">
        <x:f>CHOOSE($D$6,E50,E51,E52)</x:f>
        <x:v>57</x:v>
      </x:c>
      <x:c r="F49" s="20" t="n">
        <x:f>CHOOSE($D$6,F50,F51,F52)</x:f>
        <x:v>57</x:v>
      </x:c>
      <x:c r="G49" s="20" t="n">
        <x:f>CHOOSE($D$6,G50,G51,G52)</x:f>
        <x:v>57</x:v>
      </x:c>
      <x:c r="H49" s="20" t="n">
        <x:f>CHOOSE($D$6,H50,H51,H52)</x:f>
        <x:v>57</x:v>
      </x:c>
    </x:row>
    <x:row r="50" ht="21" customHeight="1">
      <x:c r="C50" s="59" t="str">
        <x:v>base</x:v>
      </x:c>
      <x:c r="D50" s="16" t="n">
        <x:v>57</x:v>
      </x:c>
      <x:c r="E50" s="16" t="n">
        <x:v>57</x:v>
      </x:c>
      <x:c r="F50" s="16" t="n">
        <x:v>57</x:v>
      </x:c>
      <x:c r="G50" s="16" t="n">
        <x:v>57</x:v>
      </x:c>
      <x:c r="H50" s="16" t="n">
        <x:v>57</x:v>
      </x:c>
    </x:row>
    <x:row r="51" ht="21" customHeight="1">
      <x:c r="C51" s="59" t="str">
        <x:v>upside</x:v>
      </x:c>
      <x:c r="D51" s="16" t="n">
        <x:v>53</x:v>
      </x:c>
      <x:c r="E51" s="16" t="n">
        <x:v>53</x:v>
      </x:c>
      <x:c r="F51" s="16" t="n">
        <x:v>53</x:v>
      </x:c>
      <x:c r="G51" s="16" t="n">
        <x:v>53</x:v>
      </x:c>
      <x:c r="H51" s="16" t="n">
        <x:v>53</x:v>
      </x:c>
    </x:row>
    <x:row r="52" ht="21" customHeight="1">
      <x:c r="C52" s="59" t="str">
        <x:v>downside</x:v>
      </x:c>
      <x:c r="D52" s="16" t="n">
        <x:v>65</x:v>
      </x:c>
      <x:c r="E52" s="16" t="n">
        <x:v>65</x:v>
      </x:c>
      <x:c r="F52" s="16" t="n">
        <x:v>65</x:v>
      </x:c>
      <x:c r="G52" s="16" t="n">
        <x:v>65</x:v>
      </x:c>
      <x:c r="H52" s="16" t="n">
        <x:v>65</x:v>
      </x:c>
    </x:row>
    <x:row r="53" ht="21" customHeight="1">
      <x:c r="C53" s="59"/>
      <x:c r="D53" s="2"/>
      <x:c r="E53" s="2"/>
      <x:c r="F53" s="2"/>
      <x:c r="G53" s="2"/>
      <x:c r="H53" s="2"/>
    </x:row>
    <x:row r="54" ht="32" customHeight="1">
      <x:c r="C54" s="60" t="str">
        <x:v>dio — selected</x:v>
      </x:c>
      <x:c r="D54" s="20" t="n">
        <x:f>CHOOSE($D$6,D55,D56,D57)</x:f>
        <x:v>200</x:v>
      </x:c>
      <x:c r="E54" s="20" t="n">
        <x:f>CHOOSE($D$6,E55,E56,E57)</x:f>
        <x:v>200</x:v>
      </x:c>
      <x:c r="F54" s="20" t="n">
        <x:f>CHOOSE($D$6,F55,F56,F57)</x:f>
        <x:v>200</x:v>
      </x:c>
      <x:c r="G54" s="20" t="n">
        <x:f>CHOOSE($D$6,G55,G56,G57)</x:f>
        <x:v>200</x:v>
      </x:c>
      <x:c r="H54" s="20" t="n">
        <x:f>CHOOSE($D$6,H55,H56,H57)</x:f>
        <x:v>200</x:v>
      </x:c>
    </x:row>
    <x:row r="55" ht="21" customHeight="1">
      <x:c r="C55" s="59" t="str">
        <x:v>base</x:v>
      </x:c>
      <x:c r="D55" s="16" t="n">
        <x:v>200</x:v>
      </x:c>
      <x:c r="E55" s="16" t="n">
        <x:v>200</x:v>
      </x:c>
      <x:c r="F55" s="16" t="n">
        <x:v>200</x:v>
      </x:c>
      <x:c r="G55" s="16" t="n">
        <x:v>200</x:v>
      </x:c>
      <x:c r="H55" s="16" t="n">
        <x:v>200</x:v>
      </x:c>
    </x:row>
    <x:row r="56" ht="21" customHeight="1">
      <x:c r="C56" s="59" t="str">
        <x:v>upside</x:v>
      </x:c>
      <x:c r="D56" s="16" t="n">
        <x:v>180</x:v>
      </x:c>
      <x:c r="E56" s="16" t="n">
        <x:v>180</x:v>
      </x:c>
      <x:c r="F56" s="16" t="n">
        <x:v>180</x:v>
      </x:c>
      <x:c r="G56" s="16" t="n">
        <x:v>180</x:v>
      </x:c>
      <x:c r="H56" s="16" t="n">
        <x:v>180</x:v>
      </x:c>
    </x:row>
    <x:row r="57" ht="21" customHeight="1">
      <x:c r="C57" s="59" t="str">
        <x:v>downside</x:v>
      </x:c>
      <x:c r="D57" s="16" t="n">
        <x:v>230</x:v>
      </x:c>
      <x:c r="E57" s="16" t="n">
        <x:v>230</x:v>
      </x:c>
      <x:c r="F57" s="16" t="n">
        <x:v>230</x:v>
      </x:c>
      <x:c r="G57" s="16" t="n">
        <x:v>230</x:v>
      </x:c>
      <x:c r="H57" s="16" t="n">
        <x:v>230</x:v>
      </x:c>
    </x:row>
    <x:row r="58" ht="21" customHeight="1">
      <x:c r="C58" s="59"/>
      <x:c r="D58" s="2"/>
      <x:c r="E58" s="2"/>
      <x:c r="F58" s="2"/>
      <x:c r="G58" s="2"/>
      <x:c r="H58" s="2"/>
    </x:row>
    <x:row r="59" ht="32" customHeight="1">
      <x:c r="C59" s="60" t="str">
        <x:v>dpo — selected</x:v>
      </x:c>
      <x:c r="D59" s="20" t="n">
        <x:f>CHOOSE($D$6,D60,D61,D62)</x:f>
        <x:v>50</x:v>
      </x:c>
      <x:c r="E59" s="20" t="n">
        <x:f>CHOOSE($D$6,E60,E61,E62)</x:f>
        <x:v>50</x:v>
      </x:c>
      <x:c r="F59" s="20" t="n">
        <x:f>CHOOSE($D$6,F60,F61,F62)</x:f>
        <x:v>50</x:v>
      </x:c>
      <x:c r="G59" s="20" t="n">
        <x:f>CHOOSE($D$6,G60,G61,G62)</x:f>
        <x:v>50</x:v>
      </x:c>
      <x:c r="H59" s="20" t="n">
        <x:f>CHOOSE($D$6,H60,H61,H62)</x:f>
        <x:v>50</x:v>
      </x:c>
    </x:row>
    <x:row r="60" ht="21" customHeight="1">
      <x:c r="C60" s="59" t="str">
        <x:v>base</x:v>
      </x:c>
      <x:c r="D60" s="16" t="n">
        <x:v>50</x:v>
      </x:c>
      <x:c r="E60" s="16" t="n">
        <x:v>50</x:v>
      </x:c>
      <x:c r="F60" s="16" t="n">
        <x:v>50</x:v>
      </x:c>
      <x:c r="G60" s="16" t="n">
        <x:v>50</x:v>
      </x:c>
      <x:c r="H60" s="16" t="n">
        <x:v>50</x:v>
      </x:c>
    </x:row>
    <x:row r="61" ht="21" customHeight="1">
      <x:c r="C61" s="59" t="str">
        <x:v>upside</x:v>
      </x:c>
      <x:c r="D61" s="16" t="n">
        <x:v>50</x:v>
      </x:c>
      <x:c r="E61" s="16" t="n">
        <x:v>50</x:v>
      </x:c>
      <x:c r="F61" s="16" t="n">
        <x:v>50</x:v>
      </x:c>
      <x:c r="G61" s="16" t="n">
        <x:v>50</x:v>
      </x:c>
      <x:c r="H61" s="16" t="n">
        <x:v>50</x:v>
      </x:c>
    </x:row>
    <x:row r="62" ht="21" customHeight="1">
      <x:c r="C62" s="59" t="str">
        <x:v>downside</x:v>
      </x:c>
      <x:c r="D62" s="16" t="n">
        <x:v>50</x:v>
      </x:c>
      <x:c r="E62" s="16" t="n">
        <x:v>50</x:v>
      </x:c>
      <x:c r="F62" s="16" t="n">
        <x:v>50</x:v>
      </x:c>
      <x:c r="G62" s="16" t="n">
        <x:v>50</x:v>
      </x:c>
      <x:c r="H62" s="16" t="n">
        <x:v>50</x:v>
      </x:c>
    </x:row>
    <x:row r="63" ht="21" customHeight="1">
      <x:c r="C63" s="59"/>
      <x:c r="D63" s="2"/>
      <x:c r="E63" s="2"/>
      <x:c r="F63" s="2"/>
      <x:c r="G63" s="2"/>
      <x:c r="H63" s="2"/>
    </x:row>
    <x:row r="64" ht="32" customHeight="1">
      <x:c r="C64" s="60" t="str">
        <x:v>other current assets ratio — selected</x:v>
      </x:c>
      <x:c r="D64" s="21" t="n">
        <x:f>CHOOSE($D$6,D65,D66,D67)</x:f>
        <x:v>0.056</x:v>
      </x:c>
      <x:c r="E64" s="21" t="n">
        <x:f>CHOOSE($D$6,E65,E66,E67)</x:f>
        <x:v>0.056</x:v>
      </x:c>
      <x:c r="F64" s="21" t="n">
        <x:f>CHOOSE($D$6,F65,F66,F67)</x:f>
        <x:v>0.056</x:v>
      </x:c>
      <x:c r="G64" s="21" t="n">
        <x:f>CHOOSE($D$6,G65,G66,G67)</x:f>
        <x:v>0.056</x:v>
      </x:c>
      <x:c r="H64" s="21" t="n">
        <x:f>CHOOSE($D$6,H65,H66,H67)</x:f>
        <x:v>0.056</x:v>
      </x:c>
    </x:row>
    <x:row r="65" ht="21" customHeight="1">
      <x:c r="C65" s="59" t="str">
        <x:v>base</x:v>
      </x:c>
      <x:c r="D65" s="22" t="n">
        <x:v>0.056</x:v>
      </x:c>
      <x:c r="E65" s="22" t="n">
        <x:v>0.056</x:v>
      </x:c>
      <x:c r="F65" s="22" t="n">
        <x:v>0.056</x:v>
      </x:c>
      <x:c r="G65" s="22" t="n">
        <x:v>0.056</x:v>
      </x:c>
      <x:c r="H65" s="22" t="n">
        <x:v>0.056</x:v>
      </x:c>
    </x:row>
    <x:row r="66" ht="21" customHeight="1">
      <x:c r="C66" s="59" t="str">
        <x:v>upside</x:v>
      </x:c>
      <x:c r="D66" s="22" t="n">
        <x:v>0.056</x:v>
      </x:c>
      <x:c r="E66" s="22" t="n">
        <x:v>0.056</x:v>
      </x:c>
      <x:c r="F66" s="22" t="n">
        <x:v>0.056</x:v>
      </x:c>
      <x:c r="G66" s="22" t="n">
        <x:v>0.056</x:v>
      </x:c>
      <x:c r="H66" s="22" t="n">
        <x:v>0.056</x:v>
      </x:c>
    </x:row>
    <x:row r="67" ht="21" customHeight="1">
      <x:c r="C67" s="59" t="str">
        <x:v>downside</x:v>
      </x:c>
      <x:c r="D67" s="22" t="n">
        <x:v>0.056</x:v>
      </x:c>
      <x:c r="E67" s="22" t="n">
        <x:v>0.056</x:v>
      </x:c>
      <x:c r="F67" s="22" t="n">
        <x:v>0.056</x:v>
      </x:c>
      <x:c r="G67" s="22" t="n">
        <x:v>0.056</x:v>
      </x:c>
      <x:c r="H67" s="22" t="n">
        <x:v>0.056</x:v>
      </x:c>
    </x:row>
    <x:row r="68" ht="21" customHeight="1">
      <x:c r="C68" s="59"/>
      <x:c r="D68" s="2"/>
      <x:c r="E68" s="2"/>
      <x:c r="F68" s="2"/>
      <x:c r="G68" s="2"/>
      <x:c r="H68" s="2"/>
    </x:row>
    <x:row r="69" ht="32" customHeight="1">
      <x:c r="C69" s="60" t="str">
        <x:v>accrued ratio — selected</x:v>
      </x:c>
      <x:c r="D69" s="21" t="n">
        <x:f>CHOOSE($D$6,D70,D71,D72)</x:f>
        <x:v>0.034</x:v>
      </x:c>
      <x:c r="E69" s="21" t="n">
        <x:f>CHOOSE($D$6,E70,E71,E72)</x:f>
        <x:v>0.034</x:v>
      </x:c>
      <x:c r="F69" s="21" t="n">
        <x:f>CHOOSE($D$6,F70,F71,F72)</x:f>
        <x:v>0.034</x:v>
      </x:c>
      <x:c r="G69" s="21" t="n">
        <x:f>CHOOSE($D$6,G70,G71,G72)</x:f>
        <x:v>0.034</x:v>
      </x:c>
      <x:c r="H69" s="21" t="n">
        <x:f>CHOOSE($D$6,H70,H71,H72)</x:f>
        <x:v>0.034</x:v>
      </x:c>
    </x:row>
    <x:row r="70" ht="21" customHeight="1">
      <x:c r="C70" s="59" t="str">
        <x:v>base</x:v>
      </x:c>
      <x:c r="D70" s="22" t="n">
        <x:v>0.034</x:v>
      </x:c>
      <x:c r="E70" s="22" t="n">
        <x:v>0.034</x:v>
      </x:c>
      <x:c r="F70" s="22" t="n">
        <x:v>0.034</x:v>
      </x:c>
      <x:c r="G70" s="22" t="n">
        <x:v>0.034</x:v>
      </x:c>
      <x:c r="H70" s="22" t="n">
        <x:v>0.034</x:v>
      </x:c>
    </x:row>
    <x:row r="71" ht="21" customHeight="1">
      <x:c r="C71" s="59" t="str">
        <x:v>upside</x:v>
      </x:c>
      <x:c r="D71" s="22" t="n">
        <x:v>0.034</x:v>
      </x:c>
      <x:c r="E71" s="22" t="n">
        <x:v>0.034</x:v>
      </x:c>
      <x:c r="F71" s="22" t="n">
        <x:v>0.034</x:v>
      </x:c>
      <x:c r="G71" s="22" t="n">
        <x:v>0.034</x:v>
      </x:c>
      <x:c r="H71" s="22" t="n">
        <x:v>0.034</x:v>
      </x:c>
    </x:row>
    <x:row r="72" ht="21" customHeight="1">
      <x:c r="C72" s="59" t="str">
        <x:v>downside</x:v>
      </x:c>
      <x:c r="D72" s="22" t="n">
        <x:v>0.034</x:v>
      </x:c>
      <x:c r="E72" s="22" t="n">
        <x:v>0.034</x:v>
      </x:c>
      <x:c r="F72" s="22" t="n">
        <x:v>0.034</x:v>
      </x:c>
      <x:c r="G72" s="22" t="n">
        <x:v>0.034</x:v>
      </x:c>
      <x:c r="H72" s="22" t="n">
        <x:v>0.034</x:v>
      </x:c>
    </x:row>
    <x:row r="73" ht="21" customHeight="1">
      <x:c r="C73" s="59"/>
      <x:c r="D73" s="2"/>
      <x:c r="E73" s="2"/>
      <x:c r="F73" s="2"/>
      <x:c r="G73" s="2"/>
      <x:c r="H73" s="2"/>
    </x:row>
    <x:row r="74" ht="32" customHeight="1">
      <x:c r="C74" s="60" t="str">
        <x:v>tax rate — selected</x:v>
      </x:c>
      <x:c r="D74" s="21" t="n">
        <x:f>CHOOSE($D$6,D75,D76,D77)</x:f>
        <x:v>0.21</x:v>
      </x:c>
      <x:c r="E74" s="21" t="n">
        <x:f>CHOOSE($D$6,E75,E76,E77)</x:f>
        <x:v>0.21</x:v>
      </x:c>
      <x:c r="F74" s="21" t="n">
        <x:f>CHOOSE($D$6,F75,F76,F77)</x:f>
        <x:v>0.21</x:v>
      </x:c>
      <x:c r="G74" s="21" t="n">
        <x:f>CHOOSE($D$6,G75,G76,G77)</x:f>
        <x:v>0.21</x:v>
      </x:c>
      <x:c r="H74" s="21" t="n">
        <x:f>CHOOSE($D$6,H75,H76,H77)</x:f>
        <x:v>0.21</x:v>
      </x:c>
    </x:row>
    <x:row r="75" ht="21" customHeight="1">
      <x:c r="C75" s="59" t="str">
        <x:v>base</x:v>
      </x:c>
      <x:c r="D75" s="22" t="n">
        <x:v>0.21</x:v>
      </x:c>
      <x:c r="E75" s="22" t="n">
        <x:v>0.21</x:v>
      </x:c>
      <x:c r="F75" s="22" t="n">
        <x:v>0.21</x:v>
      </x:c>
      <x:c r="G75" s="22" t="n">
        <x:v>0.21</x:v>
      </x:c>
      <x:c r="H75" s="22" t="n">
        <x:v>0.21</x:v>
      </x:c>
    </x:row>
    <x:row r="76" ht="21" customHeight="1">
      <x:c r="C76" s="59" t="str">
        <x:v>upside</x:v>
      </x:c>
      <x:c r="D76" s="22" t="n">
        <x:v>0.21</x:v>
      </x:c>
      <x:c r="E76" s="22" t="n">
        <x:v>0.21</x:v>
      </x:c>
      <x:c r="F76" s="22" t="n">
        <x:v>0.21</x:v>
      </x:c>
      <x:c r="G76" s="22" t="n">
        <x:v>0.21</x:v>
      </x:c>
      <x:c r="H76" s="22" t="n">
        <x:v>0.21</x:v>
      </x:c>
    </x:row>
    <x:row r="77" ht="21" customHeight="1">
      <x:c r="C77" s="59" t="str">
        <x:v>downside</x:v>
      </x:c>
      <x:c r="D77" s="22" t="n">
        <x:v>0.21</x:v>
      </x:c>
      <x:c r="E77" s="22" t="n">
        <x:v>0.21</x:v>
      </x:c>
      <x:c r="F77" s="22" t="n">
        <x:v>0.21</x:v>
      </x:c>
      <x:c r="G77" s="22" t="n">
        <x:v>0.21</x:v>
      </x:c>
      <x:c r="H77" s="22" t="n">
        <x:v>0.21</x:v>
      </x:c>
    </x:row>
    <x:row r="78" ht="21" customHeight="1">
      <x:c r="C78" s="59"/>
      <x:c r="D78" s="2"/>
      <x:c r="E78" s="2"/>
      <x:c r="F78" s="2"/>
      <x:c r="G78" s="2"/>
      <x:c r="H78" s="2"/>
    </x:row>
    <x:row r="79" ht="32" customHeight="1">
      <x:c r="C79" s="60" t="str">
        <x:v>interest rate — selected</x:v>
      </x:c>
      <x:c r="D79" s="21" t="n">
        <x:f>CHOOSE($D$6,D80,D81,D82)</x:f>
        <x:v>0.075</x:v>
      </x:c>
      <x:c r="E79" s="21" t="n">
        <x:f>CHOOSE($D$6,E80,E81,E82)</x:f>
        <x:v>0.075</x:v>
      </x:c>
      <x:c r="F79" s="21" t="n">
        <x:f>CHOOSE($D$6,F80,F81,F82)</x:f>
        <x:v>0.075</x:v>
      </x:c>
      <x:c r="G79" s="21" t="n">
        <x:f>CHOOSE($D$6,G80,G81,G82)</x:f>
        <x:v>0.075</x:v>
      </x:c>
      <x:c r="H79" s="21" t="n">
        <x:f>CHOOSE($D$6,H80,H81,H82)</x:f>
        <x:v>0.075</x:v>
      </x:c>
    </x:row>
    <x:row r="80" ht="21" customHeight="1">
      <x:c r="C80" s="59" t="str">
        <x:v>base</x:v>
      </x:c>
      <x:c r="D80" s="22" t="n">
        <x:v>0.075</x:v>
      </x:c>
      <x:c r="E80" s="22" t="n">
        <x:v>0.075</x:v>
      </x:c>
      <x:c r="F80" s="22" t="n">
        <x:v>0.075</x:v>
      </x:c>
      <x:c r="G80" s="22" t="n">
        <x:v>0.075</x:v>
      </x:c>
      <x:c r="H80" s="22" t="n">
        <x:v>0.075</x:v>
      </x:c>
    </x:row>
    <x:row r="81" ht="21" customHeight="1">
      <x:c r="C81" s="59" t="str">
        <x:v>upside</x:v>
      </x:c>
      <x:c r="D81" s="22" t="n">
        <x:v>0.075</x:v>
      </x:c>
      <x:c r="E81" s="22" t="n">
        <x:v>0.075</x:v>
      </x:c>
      <x:c r="F81" s="22" t="n">
        <x:v>0.075</x:v>
      </x:c>
      <x:c r="G81" s="22" t="n">
        <x:v>0.075</x:v>
      </x:c>
      <x:c r="H81" s="22" t="n">
        <x:v>0.075</x:v>
      </x:c>
    </x:row>
    <x:row r="82" ht="21" customHeight="1">
      <x:c r="C82" s="59" t="str">
        <x:v>downside</x:v>
      </x:c>
      <x:c r="D82" s="22" t="n">
        <x:v>0.095</x:v>
      </x:c>
      <x:c r="E82" s="22" t="n">
        <x:v>0.095</x:v>
      </x:c>
      <x:c r="F82" s="22" t="n">
        <x:v>0.095</x:v>
      </x:c>
      <x:c r="G82" s="22" t="n">
        <x:v>0.095</x:v>
      </x:c>
      <x:c r="H82" s="22" t="n">
        <x:v>0.095</x:v>
      </x:c>
    </x:row>
    <x:row r="83" ht="21" customHeight="1">
      <x:c r="C83" s="59"/>
      <x:c r="D83" s="2"/>
      <x:c r="E83" s="2"/>
      <x:c r="F83" s="2"/>
      <x:c r="G83" s="2"/>
      <x:c r="H83" s="2"/>
    </x:row>
    <x:row r="84" ht="32" customHeight="1">
      <x:c r="C84" s="60" t="str">
        <x:v>payout ratio — selected</x:v>
      </x:c>
      <x:c r="D84" s="21" t="n">
        <x:f>CHOOSE($D$6,D85,D86,D87)</x:f>
        <x:v>0.4</x:v>
      </x:c>
      <x:c r="E84" s="21" t="n">
        <x:f>CHOOSE($D$6,E85,E86,E87)</x:f>
        <x:v>0.4</x:v>
      </x:c>
      <x:c r="F84" s="21" t="n">
        <x:f>CHOOSE($D$6,F85,F86,F87)</x:f>
        <x:v>0.4</x:v>
      </x:c>
      <x:c r="G84" s="21" t="n">
        <x:f>CHOOSE($D$6,G85,G86,G87)</x:f>
        <x:v>0.4</x:v>
      </x:c>
      <x:c r="H84" s="21" t="n">
        <x:f>CHOOSE($D$6,H85,H86,H87)</x:f>
        <x:v>0.4</x:v>
      </x:c>
    </x:row>
    <x:row r="85" ht="21" customHeight="1">
      <x:c r="C85" s="59" t="str">
        <x:v>base</x:v>
      </x:c>
      <x:c r="D85" s="22" t="n">
        <x:v>0.4</x:v>
      </x:c>
      <x:c r="E85" s="22" t="n">
        <x:v>0.4</x:v>
      </x:c>
      <x:c r="F85" s="22" t="n">
        <x:v>0.4</x:v>
      </x:c>
      <x:c r="G85" s="22" t="n">
        <x:v>0.4</x:v>
      </x:c>
      <x:c r="H85" s="22" t="n">
        <x:v>0.4</x:v>
      </x:c>
    </x:row>
    <x:row r="86" ht="21" customHeight="1">
      <x:c r="C86" s="59" t="str">
        <x:v>upside</x:v>
      </x:c>
      <x:c r="D86" s="22" t="n">
        <x:v>0.4</x:v>
      </x:c>
      <x:c r="E86" s="22" t="n">
        <x:v>0.4</x:v>
      </x:c>
      <x:c r="F86" s="22" t="n">
        <x:v>0.4</x:v>
      </x:c>
      <x:c r="G86" s="22" t="n">
        <x:v>0.4</x:v>
      </x:c>
      <x:c r="H86" s="22" t="n">
        <x:v>0.4</x:v>
      </x:c>
    </x:row>
    <x:row r="87" ht="21" customHeight="1">
      <x:c r="C87" s="59" t="str">
        <x:v>downside</x:v>
      </x:c>
      <x:c r="D87" s="22" t="n">
        <x:v>0.4</x:v>
      </x:c>
      <x:c r="E87" s="22" t="n">
        <x:v>0.4</x:v>
      </x:c>
      <x:c r="F87" s="22" t="n">
        <x:v>0.4</x:v>
      </x:c>
      <x:c r="G87" s="22" t="n">
        <x:v>0.4</x:v>
      </x:c>
      <x:c r="H87" s="22" t="n">
        <x:v>0.4</x:v>
      </x:c>
    </x:row>
    <x:row r="88" ht="21" customHeight="1">
      <x:c r="C88" s="59"/>
      <x:c r="D88" s="2"/>
      <x:c r="E88" s="2"/>
      <x:c r="F88" s="2"/>
      <x:c r="G88" s="2"/>
      <x:c r="H88" s="2"/>
    </x:row>
    <x:row r="89" ht="32" customHeight="1">
      <x:c r="C89" s="60" t="str">
        <x:v>mandatory amortization — selected</x:v>
      </x:c>
      <x:c r="D89" s="21" t="n">
        <x:f>CHOOSE($D$6,D90,D91,D92)</x:f>
        <x:v>0.01</x:v>
      </x:c>
      <x:c r="E89" s="21" t="n">
        <x:f>CHOOSE($D$6,E90,E91,E92)</x:f>
        <x:v>0.01</x:v>
      </x:c>
      <x:c r="F89" s="21" t="n">
        <x:f>CHOOSE($D$6,F90,F91,F92)</x:f>
        <x:v>0.01</x:v>
      </x:c>
      <x:c r="G89" s="21" t="n">
        <x:f>CHOOSE($D$6,G90,G91,G92)</x:f>
        <x:v>0.01</x:v>
      </x:c>
      <x:c r="H89" s="21" t="n">
        <x:f>CHOOSE($D$6,H90,H91,H92)</x:f>
        <x:v>0.01</x:v>
      </x:c>
    </x:row>
    <x:row r="90" ht="21" customHeight="1">
      <x:c r="C90" s="59" t="str">
        <x:v>base</x:v>
      </x:c>
      <x:c r="D90" s="22" t="n">
        <x:v>0.01</x:v>
      </x:c>
      <x:c r="E90" s="22" t="n">
        <x:v>0.01</x:v>
      </x:c>
      <x:c r="F90" s="22" t="n">
        <x:v>0.01</x:v>
      </x:c>
      <x:c r="G90" s="22" t="n">
        <x:v>0.01</x:v>
      </x:c>
      <x:c r="H90" s="22" t="n">
        <x:v>0.01</x:v>
      </x:c>
    </x:row>
    <x:row r="91" ht="21" customHeight="1">
      <x:c r="C91" s="59" t="str">
        <x:v>upside</x:v>
      </x:c>
      <x:c r="D91" s="22" t="n">
        <x:v>0.01</x:v>
      </x:c>
      <x:c r="E91" s="22" t="n">
        <x:v>0.01</x:v>
      </x:c>
      <x:c r="F91" s="22" t="n">
        <x:v>0.01</x:v>
      </x:c>
      <x:c r="G91" s="22" t="n">
        <x:v>0.01</x:v>
      </x:c>
      <x:c r="H91" s="22" t="n">
        <x:v>0.01</x:v>
      </x:c>
    </x:row>
    <x:row r="92" ht="21" customHeight="1">
      <x:c r="C92" s="59" t="str">
        <x:v>downside</x:v>
      </x:c>
      <x:c r="D92" s="22" t="n">
        <x:v>0.01</x:v>
      </x:c>
      <x:c r="E92" s="22" t="n">
        <x:v>0.01</x:v>
      </x:c>
      <x:c r="F92" s="22" t="n">
        <x:v>0.01</x:v>
      </x:c>
      <x:c r="G92" s="22" t="n">
        <x:v>0.01</x:v>
      </x:c>
      <x:c r="H92" s="22" t="n">
        <x:v>0.01</x:v>
      </x:c>
    </x:row>
    <x:row r="93" ht="21" customHeight="1">
      <x:c r="C93" s="59"/>
      <x:c r="D93" s="2"/>
      <x:c r="E93" s="2"/>
      <x:c r="F93" s="2"/>
      <x:c r="G93" s="2"/>
      <x:c r="H93" s="2"/>
    </x:row>
    <x:row r="94" ht="32" customHeight="1">
      <x:c r="C94" s="60" t="str">
        <x:v>minimum cash — selected</x:v>
      </x:c>
      <x:c r="D94" s="20" t="n">
        <x:f>CHOOSE($D$6,D95,D96,D97)</x:f>
        <x:v>300</x:v>
      </x:c>
      <x:c r="E94" s="20" t="n">
        <x:f>CHOOSE($D$6,E95,E96,E97)</x:f>
        <x:v>300</x:v>
      </x:c>
      <x:c r="F94" s="20" t="n">
        <x:f>CHOOSE($D$6,F95,F96,F97)</x:f>
        <x:v>300</x:v>
      </x:c>
      <x:c r="G94" s="20" t="n">
        <x:f>CHOOSE($D$6,G95,G96,G97)</x:f>
        <x:v>300</x:v>
      </x:c>
      <x:c r="H94" s="20" t="n">
        <x:f>CHOOSE($D$6,H95,H96,H97)</x:f>
        <x:v>300</x:v>
      </x:c>
    </x:row>
    <x:row r="95" ht="21" customHeight="1">
      <x:c r="C95" s="59" t="str">
        <x:v>base</x:v>
      </x:c>
      <x:c r="D95" s="16" t="n">
        <x:v>300</x:v>
      </x:c>
      <x:c r="E95" s="16" t="n">
        <x:v>300</x:v>
      </x:c>
      <x:c r="F95" s="16" t="n">
        <x:v>300</x:v>
      </x:c>
      <x:c r="G95" s="16" t="n">
        <x:v>300</x:v>
      </x:c>
      <x:c r="H95" s="16" t="n">
        <x:v>300</x:v>
      </x:c>
    </x:row>
    <x:row r="96" ht="21" customHeight="1">
      <x:c r="C96" s="59" t="str">
        <x:v>upside</x:v>
      </x:c>
      <x:c r="D96" s="16" t="n">
        <x:v>300</x:v>
      </x:c>
      <x:c r="E96" s="16" t="n">
        <x:v>300</x:v>
      </x:c>
      <x:c r="F96" s="16" t="n">
        <x:v>300</x:v>
      </x:c>
      <x:c r="G96" s="16" t="n">
        <x:v>300</x:v>
      </x:c>
      <x:c r="H96" s="16" t="n">
        <x:v>300</x:v>
      </x:c>
    </x:row>
    <x:row r="97" ht="21" customHeight="1">
      <x:c r="C97" s="59" t="str">
        <x:v>downside</x:v>
      </x:c>
      <x:c r="D97" s="16" t="n">
        <x:v>300</x:v>
      </x:c>
      <x:c r="E97" s="16" t="n">
        <x:v>300</x:v>
      </x:c>
      <x:c r="F97" s="16" t="n">
        <x:v>300</x:v>
      </x:c>
      <x:c r="G97" s="16" t="n">
        <x:v>300</x:v>
      </x:c>
      <x:c r="H97" s="16" t="n">
        <x:v>300</x:v>
      </x:c>
    </x:row>
    <x:row r="98" ht="21" customHeight="1">
      <x:c r="C98" s="59"/>
      <x:c r="D98" s="2"/>
      <x:c r="E98" s="2"/>
      <x:c r="F98" s="2"/>
      <x:c r="G98" s="2"/>
      <x:c r="H98" s="2"/>
    </x:row>
    <x:row r="99" ht="32" customHeight="1">
      <x:c r="C99" s="60" t="str">
        <x:v>growth Fitness — selected</x:v>
      </x:c>
      <x:c r="D99" s="21" t="n">
        <x:f>CHOOSE($D$6,D100,D101,D102)</x:f>
        <x:v>0.09</x:v>
      </x:c>
      <x:c r="E99" s="21" t="n">
        <x:f>CHOOSE($D$6,E100,E101,E102)</x:f>
        <x:v>0.09</x:v>
      </x:c>
      <x:c r="F99" s="21" t="n">
        <x:f>CHOOSE($D$6,F100,F101,F102)</x:f>
        <x:v>0.09</x:v>
      </x:c>
      <x:c r="G99" s="21" t="n">
        <x:f>CHOOSE($D$6,G100,G101,G102)</x:f>
        <x:v>0.09</x:v>
      </x:c>
      <x:c r="H99" s="21" t="n">
        <x:f>CHOOSE($D$6,H100,H101,H102)</x:f>
        <x:v>0.09</x:v>
      </x:c>
    </x:row>
    <x:row r="100" ht="21" customHeight="1">
      <x:c r="C100" s="59" t="str">
        <x:v>base</x:v>
      </x:c>
      <x:c r="D100" s="22" t="n">
        <x:v>0.09</x:v>
      </x:c>
      <x:c r="E100" s="22" t="n">
        <x:v>0.09</x:v>
      </x:c>
      <x:c r="F100" s="22" t="n">
        <x:v>0.09</x:v>
      </x:c>
      <x:c r="G100" s="22" t="n">
        <x:v>0.09</x:v>
      </x:c>
      <x:c r="H100" s="22" t="n">
        <x:v>0.09</x:v>
      </x:c>
    </x:row>
    <x:row r="101" ht="21" customHeight="1">
      <x:c r="C101" s="59" t="str">
        <x:v>upside</x:v>
      </x:c>
      <x:c r="D101" s="22" t="n">
        <x:v>0.09</x:v>
      </x:c>
      <x:c r="E101" s="22" t="n">
        <x:v>0.09</x:v>
      </x:c>
      <x:c r="F101" s="22" t="n">
        <x:v>0.09</x:v>
      </x:c>
      <x:c r="G101" s="22" t="n">
        <x:v>0.09</x:v>
      </x:c>
      <x:c r="H101" s="22" t="n">
        <x:v>0.09</x:v>
      </x:c>
    </x:row>
    <x:row r="102" ht="21" customHeight="1">
      <x:c r="C102" s="59" t="str">
        <x:v>downside</x:v>
      </x:c>
      <x:c r="D102" s="22" t="n">
        <x:v>0.09</x:v>
      </x:c>
      <x:c r="E102" s="22" t="n">
        <x:v>0.09</x:v>
      </x:c>
      <x:c r="F102" s="22" t="n">
        <x:v>0.09</x:v>
      </x:c>
      <x:c r="G102" s="22" t="n">
        <x:v>0.09</x:v>
      </x:c>
      <x:c r="H102" s="22" t="n">
        <x:v>0.09</x:v>
      </x:c>
    </x:row>
    <x:row r="103" ht="21" customHeight="1">
      <x:c r="C103" s="59"/>
      <x:c r="D103" s="2"/>
      <x:c r="E103" s="2"/>
      <x:c r="F103" s="2"/>
      <x:c r="G103" s="2"/>
      <x:c r="H103" s="2"/>
    </x:row>
    <x:row r="104" ht="32" customHeight="1">
      <x:c r="C104" s="60" t="str">
        <x:v>growth Outdoor — selected</x:v>
      </x:c>
      <x:c r="D104" s="21" t="n">
        <x:f>CHOOSE($D$6,D105,D106,D107)</x:f>
        <x:v>0.06</x:v>
      </x:c>
      <x:c r="E104" s="21" t="n">
        <x:f>CHOOSE($D$6,E105,E106,E107)</x:f>
        <x:v>0.06</x:v>
      </x:c>
      <x:c r="F104" s="21" t="n">
        <x:f>CHOOSE($D$6,F105,F106,F107)</x:f>
        <x:v>0.06</x:v>
      </x:c>
      <x:c r="G104" s="21" t="n">
        <x:f>CHOOSE($D$6,G105,G106,G107)</x:f>
        <x:v>0.06</x:v>
      </x:c>
      <x:c r="H104" s="21" t="n">
        <x:f>CHOOSE($D$6,H105,H106,H107)</x:f>
        <x:v>0.06</x:v>
      </x:c>
    </x:row>
    <x:row r="105" ht="21" customHeight="1">
      <x:c r="C105" s="59" t="str">
        <x:v>base</x:v>
      </x:c>
      <x:c r="D105" s="22" t="n">
        <x:v>0.06</x:v>
      </x:c>
      <x:c r="E105" s="22" t="n">
        <x:v>0.06</x:v>
      </x:c>
      <x:c r="F105" s="22" t="n">
        <x:v>0.06</x:v>
      </x:c>
      <x:c r="G105" s="22" t="n">
        <x:v>0.06</x:v>
      </x:c>
      <x:c r="H105" s="22" t="n">
        <x:v>0.06</x:v>
      </x:c>
    </x:row>
    <x:row r="106" ht="21" customHeight="1">
      <x:c r="C106" s="59" t="str">
        <x:v>upside</x:v>
      </x:c>
      <x:c r="D106" s="22" t="n">
        <x:v>0.06</x:v>
      </x:c>
      <x:c r="E106" s="22" t="n">
        <x:v>0.06</x:v>
      </x:c>
      <x:c r="F106" s="22" t="n">
        <x:v>0.06</x:v>
      </x:c>
      <x:c r="G106" s="22" t="n">
        <x:v>0.06</x:v>
      </x:c>
      <x:c r="H106" s="22" t="n">
        <x:v>0.06</x:v>
      </x:c>
    </x:row>
    <x:row r="107" ht="21" customHeight="1">
      <x:c r="C107" s="59" t="str">
        <x:v>downside</x:v>
      </x:c>
      <x:c r="D107" s="22" t="n">
        <x:v>0.06</x:v>
      </x:c>
      <x:c r="E107" s="22" t="n">
        <x:v>0.06</x:v>
      </x:c>
      <x:c r="F107" s="22" t="n">
        <x:v>0.06</x:v>
      </x:c>
      <x:c r="G107" s="22" t="n">
        <x:v>0.06</x:v>
      </x:c>
      <x:c r="H107" s="22" t="n">
        <x:v>0.06</x:v>
      </x:c>
    </x:row>
    <x:row r="108" ht="21" customHeight="1">
      <x:c r="C108" s="59"/>
      <x:c r="D108" s="2"/>
      <x:c r="E108" s="2"/>
      <x:c r="F108" s="2"/>
      <x:c r="G108" s="2"/>
      <x:c r="H108" s="2"/>
    </x:row>
    <x:row r="109" ht="32" customHeight="1">
      <x:c r="C109" s="60" t="str">
        <x:v>growth Aviation — selected</x:v>
      </x:c>
      <x:c r="D109" s="21" t="n">
        <x:f>CHOOSE($D$6,D110,D111,D112)</x:f>
        <x:v>0.05</x:v>
      </x:c>
      <x:c r="E109" s="21" t="n">
        <x:f>CHOOSE($D$6,E110,E111,E112)</x:f>
        <x:v>0.05</x:v>
      </x:c>
      <x:c r="F109" s="21" t="n">
        <x:f>CHOOSE($D$6,F110,F111,F112)</x:f>
        <x:v>0.05</x:v>
      </x:c>
      <x:c r="G109" s="21" t="n">
        <x:f>CHOOSE($D$6,G110,G111,G112)</x:f>
        <x:v>0.05</x:v>
      </x:c>
      <x:c r="H109" s="21" t="n">
        <x:f>CHOOSE($D$6,H110,H111,H112)</x:f>
        <x:v>0.05</x:v>
      </x:c>
    </x:row>
    <x:row r="110" ht="21" customHeight="1">
      <x:c r="C110" s="59" t="str">
        <x:v>base</x:v>
      </x:c>
      <x:c r="D110" s="22" t="n">
        <x:v>0.05</x:v>
      </x:c>
      <x:c r="E110" s="22" t="n">
        <x:v>0.05</x:v>
      </x:c>
      <x:c r="F110" s="22" t="n">
        <x:v>0.05</x:v>
      </x:c>
      <x:c r="G110" s="22" t="n">
        <x:v>0.05</x:v>
      </x:c>
      <x:c r="H110" s="22" t="n">
        <x:v>0.05</x:v>
      </x:c>
    </x:row>
    <x:row r="111" ht="21" customHeight="1">
      <x:c r="C111" s="59" t="str">
        <x:v>upside</x:v>
      </x:c>
      <x:c r="D111" s="22" t="n">
        <x:v>0.05</x:v>
      </x:c>
      <x:c r="E111" s="22" t="n">
        <x:v>0.05</x:v>
      </x:c>
      <x:c r="F111" s="22" t="n">
        <x:v>0.05</x:v>
      </x:c>
      <x:c r="G111" s="22" t="n">
        <x:v>0.05</x:v>
      </x:c>
      <x:c r="H111" s="22" t="n">
        <x:v>0.05</x:v>
      </x:c>
    </x:row>
    <x:row r="112" ht="21" customHeight="1">
      <x:c r="C112" s="59" t="str">
        <x:v>downside</x:v>
      </x:c>
      <x:c r="D112" s="22" t="n">
        <x:v>0.05</x:v>
      </x:c>
      <x:c r="E112" s="22" t="n">
        <x:v>0.05</x:v>
      </x:c>
      <x:c r="F112" s="22" t="n">
        <x:v>0.05</x:v>
      </x:c>
      <x:c r="G112" s="22" t="n">
        <x:v>0.05</x:v>
      </x:c>
      <x:c r="H112" s="22" t="n">
        <x:v>0.05</x:v>
      </x:c>
    </x:row>
    <x:row r="113" ht="21" customHeight="1">
      <x:c r="C113" s="59"/>
      <x:c r="D113" s="2"/>
      <x:c r="E113" s="2"/>
      <x:c r="F113" s="2"/>
      <x:c r="G113" s="2"/>
      <x:c r="H113" s="2"/>
    </x:row>
    <x:row r="114" ht="32" customHeight="1">
      <x:c r="C114" s="60" t="str">
        <x:v>growth Marine — selected</x:v>
      </x:c>
      <x:c r="D114" s="21" t="n">
        <x:f>CHOOSE($D$6,D115,D116,D117)</x:f>
        <x:v>0.06</x:v>
      </x:c>
      <x:c r="E114" s="21" t="n">
        <x:f>CHOOSE($D$6,E115,E116,E117)</x:f>
        <x:v>0.06</x:v>
      </x:c>
      <x:c r="F114" s="21" t="n">
        <x:f>CHOOSE($D$6,F115,F116,F117)</x:f>
        <x:v>0.06</x:v>
      </x:c>
      <x:c r="G114" s="21" t="n">
        <x:f>CHOOSE($D$6,G115,G116,G117)</x:f>
        <x:v>0.06</x:v>
      </x:c>
      <x:c r="H114" s="21" t="n">
        <x:f>CHOOSE($D$6,H115,H116,H117)</x:f>
        <x:v>0.06</x:v>
      </x:c>
    </x:row>
    <x:row r="115" ht="21" customHeight="1">
      <x:c r="C115" s="59" t="str">
        <x:v>base</x:v>
      </x:c>
      <x:c r="D115" s="22" t="n">
        <x:v>0.06</x:v>
      </x:c>
      <x:c r="E115" s="22" t="n">
        <x:v>0.06</x:v>
      </x:c>
      <x:c r="F115" s="22" t="n">
        <x:v>0.06</x:v>
      </x:c>
      <x:c r="G115" s="22" t="n">
        <x:v>0.06</x:v>
      </x:c>
      <x:c r="H115" s="22" t="n">
        <x:v>0.06</x:v>
      </x:c>
    </x:row>
    <x:row r="116" ht="21" customHeight="1">
      <x:c r="C116" s="59" t="str">
        <x:v>upside</x:v>
      </x:c>
      <x:c r="D116" s="22" t="n">
        <x:v>0.06</x:v>
      </x:c>
      <x:c r="E116" s="22" t="n">
        <x:v>0.06</x:v>
      </x:c>
      <x:c r="F116" s="22" t="n">
        <x:v>0.06</x:v>
      </x:c>
      <x:c r="G116" s="22" t="n">
        <x:v>0.06</x:v>
      </x:c>
      <x:c r="H116" s="22" t="n">
        <x:v>0.06</x:v>
      </x:c>
    </x:row>
    <x:row r="117" ht="21" customHeight="1">
      <x:c r="C117" s="59" t="str">
        <x:v>downside</x:v>
      </x:c>
      <x:c r="D117" s="22" t="n">
        <x:v>0.06</x:v>
      </x:c>
      <x:c r="E117" s="22" t="n">
        <x:v>0.06</x:v>
      </x:c>
      <x:c r="F117" s="22" t="n">
        <x:v>0.06</x:v>
      </x:c>
      <x:c r="G117" s="22" t="n">
        <x:v>0.06</x:v>
      </x:c>
      <x:c r="H117" s="22" t="n">
        <x:v>0.06</x:v>
      </x:c>
    </x:row>
    <x:row r="118" ht="21" customHeight="1">
      <x:c r="C118" s="59"/>
      <x:c r="D118" s="2"/>
      <x:c r="E118" s="2"/>
      <x:c r="F118" s="2"/>
      <x:c r="G118" s="2"/>
      <x:c r="H118" s="2"/>
    </x:row>
    <x:row r="119" ht="32" customHeight="1">
      <x:c r="C119" s="60" t="str">
        <x:v>growth Auto OEM — selected</x:v>
      </x:c>
      <x:c r="D119" s="21" t="n">
        <x:f>CHOOSE($D$6,D120,D121,D122)</x:f>
        <x:v>0.15</x:v>
      </x:c>
      <x:c r="E119" s="21" t="n">
        <x:f>CHOOSE($D$6,E120,E121,E122)</x:f>
        <x:v>0.15</x:v>
      </x:c>
      <x:c r="F119" s="21" t="n">
        <x:f>CHOOSE($D$6,F120,F121,F122)</x:f>
        <x:v>0.15</x:v>
      </x:c>
      <x:c r="G119" s="21" t="n">
        <x:f>CHOOSE($D$6,G120,G121,G122)</x:f>
        <x:v>0.15</x:v>
      </x:c>
      <x:c r="H119" s="21" t="n">
        <x:f>CHOOSE($D$6,H120,H121,H122)</x:f>
        <x:v>0.15</x:v>
      </x:c>
    </x:row>
    <x:row r="120" ht="21" customHeight="1">
      <x:c r="C120" s="59" t="str">
        <x:v>base</x:v>
      </x:c>
      <x:c r="D120" s="22" t="n">
        <x:v>0.15</x:v>
      </x:c>
      <x:c r="E120" s="22" t="n">
        <x:v>0.15</x:v>
      </x:c>
      <x:c r="F120" s="22" t="n">
        <x:v>0.15</x:v>
      </x:c>
      <x:c r="G120" s="22" t="n">
        <x:v>0.15</x:v>
      </x:c>
      <x:c r="H120" s="22" t="n">
        <x:v>0.15</x:v>
      </x:c>
    </x:row>
    <x:row r="121" ht="21" customHeight="1">
      <x:c r="C121" s="59" t="str">
        <x:v>upside</x:v>
      </x:c>
      <x:c r="D121" s="22" t="n">
        <x:v>0.15</x:v>
      </x:c>
      <x:c r="E121" s="22" t="n">
        <x:v>0.15</x:v>
      </x:c>
      <x:c r="F121" s="22" t="n">
        <x:v>0.15</x:v>
      </x:c>
      <x:c r="G121" s="22" t="n">
        <x:v>0.15</x:v>
      </x:c>
      <x:c r="H121" s="22" t="n">
        <x:v>0.15</x:v>
      </x:c>
    </x:row>
    <x:row r="122" ht="21" customHeight="1">
      <x:c r="C122" s="59" t="str">
        <x:v>downside</x:v>
      </x:c>
      <x:c r="D122" s="22" t="n">
        <x:v>0.15</x:v>
      </x:c>
      <x:c r="E122" s="22" t="n">
        <x:v>0.15</x:v>
      </x:c>
      <x:c r="F122" s="22" t="n">
        <x:v>0.15</x:v>
      </x:c>
      <x:c r="G122" s="22" t="n">
        <x:v>0.15</x:v>
      </x:c>
      <x:c r="H122" s="22" t="n">
        <x:v>0.15</x:v>
      </x:c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 t="str">
        <x:v>risk free</x:v>
      </x:c>
      <x:c r="D124" s="23" t="n">
        <x:f>CHOOSE($D$6,E124,F124,G124)</x:f>
        <x:v>0.043</x:v>
      </x:c>
      <x:c r="E124" s="22" t="n">
        <x:v>0.043</x:v>
      </x:c>
      <x:c r="F124" s="22" t="n">
        <x:v>0.043</x:v>
      </x:c>
      <x:c r="G124" s="22" t="n">
        <x:v>0.043</x:v>
      </x:c>
      <x:c r="H124" s="2"/>
    </x:row>
    <x:row r="125" ht="21" customHeight="1">
      <x:c r="C125" s="59" t="str">
        <x:v>beta</x:v>
      </x:c>
      <x:c r="D125" s="15" t="n">
        <x:f>CHOOSE($D$6,E125,F125,G125)</x:f>
        <x:v>1</x:v>
      </x:c>
      <x:c r="E125" s="16" t="n">
        <x:v>1</x:v>
      </x:c>
      <x:c r="F125" s="16" t="n">
        <x:v>1</x:v>
      </x:c>
      <x:c r="G125" s="16" t="n">
        <x:v>1</x:v>
      </x:c>
      <x:c r="H125" s="2"/>
    </x:row>
    <x:row r="126" ht="21" customHeight="1">
      <x:c r="C126" s="59" t="str">
        <x:v>equity risk premium</x:v>
      </x:c>
      <x:c r="D126" s="23" t="n">
        <x:f>CHOOSE($D$6,E126,F126,G126)</x:f>
        <x:v>0.055</x:v>
      </x:c>
      <x:c r="E126" s="22" t="n">
        <x:v>0.055</x:v>
      </x:c>
      <x:c r="F126" s="22" t="n">
        <x:v>0.055</x:v>
      </x:c>
      <x:c r="G126" s="22" t="n">
        <x:v>0.055</x:v>
      </x:c>
      <x:c r="H126" s="2"/>
    </x:row>
    <x:row r="127" ht="21" customHeight="1">
      <x:c r="C127" s="59" t="str">
        <x:v>cost of debt</x:v>
      </x:c>
      <x:c r="D127" s="23" t="n">
        <x:f>CHOOSE($D$6,E127,F127,G127)</x:f>
        <x:v>0.07</x:v>
      </x:c>
      <x:c r="E127" s="22" t="n">
        <x:v>0.07</x:v>
      </x:c>
      <x:c r="F127" s="22" t="n">
        <x:v>0.07</x:v>
      </x:c>
      <x:c r="G127" s="22" t="n">
        <x:v>0.07</x:v>
      </x:c>
      <x:c r="H127" s="2"/>
    </x:row>
    <x:row r="128" ht="21" customHeight="1">
      <x:c r="C128" s="59" t="str">
        <x:v>target debt weight</x:v>
      </x:c>
      <x:c r="D128" s="23" t="n">
        <x:f>CHOOSE($D$6,E128,F128,G128)</x:f>
        <x:v>0.2</x:v>
      </x:c>
      <x:c r="E128" s="22" t="n">
        <x:v>0.2</x:v>
      </x:c>
      <x:c r="F128" s="22" t="n">
        <x:v>0.2</x:v>
      </x:c>
      <x:c r="G128" s="22" t="n">
        <x:v>0.2</x:v>
      </x:c>
      <x:c r="H128" s="2"/>
    </x:row>
    <x:row r="129" ht="21" customHeight="1">
      <x:c r="C129" s="59" t="str">
        <x:v>terminal growth</x:v>
      </x:c>
      <x:c r="D129" s="23" t="n">
        <x:f>CHOOSE($D$6,E129,F129,G129)</x:f>
        <x:v>0.025</x:v>
      </x:c>
      <x:c r="E129" s="22" t="n">
        <x:v>0.025</x:v>
      </x:c>
      <x:c r="F129" s="22" t="n">
        <x:v>0.025</x:v>
      </x:c>
      <x:c r="G129" s="22" t="n">
        <x:v>0.025</x:v>
      </x:c>
      <x:c r="H129" s="2"/>
    </x:row>
    <x:row r="130" ht="21" customHeight="1">
      <x:c r="C130" s="59" t="str">
        <x:v>leverage</x:v>
      </x:c>
      <x:c r="D130" s="15" t="n">
        <x:f>CHOOSE($D$6,E130,F130,G130)</x:f>
        <x:v>3</x:v>
      </x:c>
      <x:c r="E130" s="16" t="n">
        <x:v>3</x:v>
      </x:c>
      <x:c r="F130" s="16" t="n">
        <x:v>3</x:v>
      </x:c>
      <x:c r="G130" s="16" t="n">
        <x:v>3</x:v>
      </x:c>
      <x:c r="H130" s="2"/>
    </x:row>
    <x:row r="131" ht="21" customHeight="1">
      <x:c r="C131" s="59" t="str">
        <x:v>transaction fee rate</x:v>
      </x:c>
      <x:c r="D131" s="23" t="n">
        <x:f>CHOOSE($D$6,E131,F131,G131)</x:f>
        <x:v>0.02</x:v>
      </x:c>
      <x:c r="E131" s="22" t="n">
        <x:v>0.02</x:v>
      </x:c>
      <x:c r="F131" s="22" t="n">
        <x:v>0.02</x:v>
      </x:c>
      <x:c r="G131" s="22" t="n">
        <x:v>0.02</x:v>
      </x:c>
      <x:c r="H131" s="2"/>
    </x:row>
    <x:row r="132" ht="21" customHeight="1">
      <x:c r="C132" s="59" t="str">
        <x:v>financing fee rate</x:v>
      </x:c>
      <x:c r="D132" s="23" t="n">
        <x:f>CHOOSE($D$6,E132,F132,G132)</x:f>
        <x:v>0.02</x:v>
      </x:c>
      <x:c r="E132" s="22" t="n">
        <x:v>0.02</x:v>
      </x:c>
      <x:c r="F132" s="22" t="n">
        <x:v>0.02</x:v>
      </x:c>
      <x:c r="G132" s="22" t="n">
        <x:v>0.02</x:v>
      </x:c>
      <x:c r="H132" s="2"/>
    </x:row>
    <x:row r="133" ht="21" customHeight="1">
      <x:c r="C133" s="59" t="str">
        <x:v>target irr</x:v>
      </x:c>
      <x:c r="D133" s="23" t="n">
        <x:f>CHOOSE($D$6,E133,F133,G133)</x:f>
        <x:v>0.2</x:v>
      </x:c>
      <x:c r="E133" s="22" t="n">
        <x:v>0.2</x:v>
      </x:c>
      <x:c r="F133" s="22" t="n">
        <x:v>0.2</x:v>
      </x:c>
      <x:c r="G133" s="22" t="n">
        <x:v>0.2</x:v>
      </x:c>
      <x:c r="H133" s="2"/>
    </x:row>
    <x:row r="134" ht="21" customHeight="1">
      <x:c r="C134" s="59" t="str">
        <x:v>exit multiple</x:v>
      </x:c>
      <x:c r="D134" s="15" t="n">
        <x:f>CHOOSE($D$6,E134,F134,G134)</x:f>
        <x:v>14</x:v>
      </x:c>
      <x:c r="E134" s="16" t="n">
        <x:v>14</x:v>
      </x:c>
      <x:c r="F134" s="16" t="n">
        <x:v>16</x:v>
      </x:c>
      <x:c r="G134" s="16" t="n">
        <x:v>10</x:v>
      </x:c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 t="str">
        <x:v>Scalar case columns: E base, F up, G down</x:v>
      </x:c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dataValidations count="1">
    <x:dataValidation type="list" sqref="D6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Historicals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0" t="str">
        <x:v>Reported fiscal years</x:v>
      </x:c>
      <x:c r="D5" s="11" t="n">
        <x:v>2020</x:v>
      </x:c>
      <x:c r="E5" s="11" t="n">
        <x:v>2021</x:v>
      </x:c>
      <x:c r="F5" s="11" t="n">
        <x:v>2022</x:v>
      </x:c>
      <x:c r="G5" s="11" t="n">
        <x:v>2023</x:v>
      </x:c>
      <x:c r="H5" s="11" t="n">
        <x:v>2024</x:v>
      </x:c>
    </x:row>
    <x:row r="6" ht="21" customHeight="1">
      <x:c r="C6" s="59" t="str">
        <x:v>revenue</x:v>
      </x:c>
      <x:c r="D6" s="14" t="n">
        <x:v>4186.573</x:v>
      </x:c>
      <x:c r="E6" s="14" t="n">
        <x:v>4982.795</x:v>
      </x:c>
      <x:c r="F6" s="14" t="n">
        <x:v>4860.286</x:v>
      </x:c>
      <x:c r="G6" s="14" t="n">
        <x:v>5228.252</x:v>
      </x:c>
      <x:c r="H6" s="14" t="n">
        <x:v>6296.903</x:v>
      </x:c>
    </x:row>
    <x:row r="7" ht="21" customHeight="1">
      <x:c r="C7" s="59" t="str">
        <x:v>cogs</x:v>
      </x:c>
      <x:c r="D7" s="14" t="n">
        <x:v>1705.237</x:v>
      </x:c>
      <x:c r="E7" s="14" t="n">
        <x:v>2092.336</x:v>
      </x:c>
      <x:c r="F7" s="14" t="n">
        <x:v>2053.511</x:v>
      </x:c>
      <x:c r="G7" s="14" t="n">
        <x:v>2223.297</x:v>
      </x:c>
      <x:c r="H7" s="14" t="n">
        <x:v>2600.348</x:v>
      </x:c>
    </x:row>
    <x:row r="8" ht="21" customHeight="1">
      <x:c r="C8" s="59" t="str">
        <x:v>gross profit</x:v>
      </x:c>
      <x:c r="D8" s="14" t="n">
        <x:v>2481.336</x:v>
      </x:c>
      <x:c r="E8" s="14" t="n">
        <x:v>2890.459</x:v>
      </x:c>
      <x:c r="F8" s="14" t="n">
        <x:v>2806.775</x:v>
      </x:c>
      <x:c r="G8" s="14" t="n">
        <x:v>3004.955</x:v>
      </x:c>
      <x:c r="H8" s="14" t="n">
        <x:v>3696.555</x:v>
      </x:c>
    </x:row>
    <x:row r="9" ht="21" customHeight="1">
      <x:c r="C9" s="59" t="str">
        <x:v>ebit</x:v>
      </x:c>
      <x:c r="D9" s="14" t="n">
        <x:v>1054.24</x:v>
      </x:c>
      <x:c r="E9" s="14" t="n">
        <x:v>1218.62</x:v>
      </x:c>
      <x:c r="F9" s="14" t="n">
        <x:v>1027.845</x:v>
      </x:c>
      <x:c r="G9" s="14" t="n">
        <x:v>1092.16</x:v>
      </x:c>
      <x:c r="H9" s="14" t="n">
        <x:v>1593.994</x:v>
      </x:c>
    </x:row>
    <x:row r="10" ht="21" customHeight="1">
      <x:c r="C10" s="59" t="str">
        <x:v>sga</x:v>
      </x:c>
      <x:c r="D10" s="14" t="n">
        <x:v>623.588</x:v>
      </x:c>
      <x:c r="E10" s="14" t="n">
        <x:v>721.26</x:v>
      </x:c>
      <x:c r="F10" s="14" t="n">
        <x:v>944.003</x:v>
      </x:c>
      <x:c r="G10" s="14" t="n">
        <x:v>1008.099</x:v>
      </x:c>
      <x:c r="H10" s="14" t="n">
        <x:v>1108.96</x:v>
      </x:c>
    </x:row>
    <x:row r="11" ht="21" customHeight="1">
      <x:c r="C11" s="59" t="str">
        <x:v>rd</x:v>
      </x:c>
      <x:c r="D11" s="14" t="n">
        <x:v>652.342</x:v>
      </x:c>
      <x:c r="E11" s="14" t="n">
        <x:v>778.75</x:v>
      </x:c>
      <x:c r="F11" s="14" t="n">
        <x:v>834.927</x:v>
      </x:c>
      <x:c r="G11" s="14" t="n">
        <x:v>904.696</x:v>
      </x:c>
      <x:c r="H11" s="14" t="n">
        <x:v>993.601</x:v>
      </x:c>
    </x:row>
    <x:row r="12" ht="21" customHeight="1">
      <x:c r="C12" s="59" t="str">
        <x:v>depreciation</x:v>
      </x:c>
      <x:c r="D12" s="14" t="n">
        <x:v>78.121</x:v>
      </x:c>
      <x:c r="E12" s="14" t="n">
        <x:v>103.498</x:v>
      </x:c>
      <x:c r="F12" s="14" t="n">
        <x:v>118.743</x:v>
      </x:c>
      <x:c r="G12" s="14" t="n">
        <x:v>132.347</x:v>
      </x:c>
      <x:c r="H12" s="14" t="n">
        <x:v>140.494</x:v>
      </x:c>
    </x:row>
    <x:row r="13" ht="21" customHeight="1">
      <x:c r="C13" s="59" t="str">
        <x:v>amortization</x:v>
      </x:c>
      <x:c r="D13" s="14" t="n">
        <x:v>34.797</x:v>
      </x:c>
      <x:c r="E13" s="14" t="n">
        <x:v>35.54</x:v>
      </x:c>
      <x:c r="F13" s="14" t="n">
        <x:v>30.561</x:v>
      </x:c>
      <x:c r="G13" s="14" t="n">
        <x:v>30.513</x:v>
      </x:c>
      <x:c r="H13" s="14" t="n">
        <x:v>30.666</x:v>
      </x:c>
    </x:row>
    <x:row r="14" ht="21" customHeight="1">
      <x:c r="C14" s="59" t="str">
        <x:v>taxes</x:v>
      </x:c>
      <x:c r="D14" s="14" t="n">
        <x:v>111.086</x:v>
      </x:c>
      <x:c r="E14" s="14" t="n">
        <x:v>124.596</x:v>
      </x:c>
      <x:c r="F14" s="14" t="n">
        <x:v>91.389</x:v>
      </x:c>
      <x:c r="G14" s="14" t="n">
        <x:v>-89.28</x:v>
      </x:c>
      <x:c r="H14" s="14" t="n">
        <x:v>283.965</x:v>
      </x:c>
    </x:row>
    <x:row r="15" ht="21" customHeight="1">
      <x:c r="C15" s="59" t="str">
        <x:v>net income</x:v>
      </x:c>
      <x:c r="D15" s="14" t="n">
        <x:v>992.324</x:v>
      </x:c>
      <x:c r="E15" s="14" t="n">
        <x:v>1082.2</x:v>
      </x:c>
      <x:c r="F15" s="14" t="n">
        <x:v>973.585</x:v>
      </x:c>
      <x:c r="G15" s="14" t="n">
        <x:v>1289.636</x:v>
      </x:c>
      <x:c r="H15" s="14" t="n">
        <x:v>1411.436</x:v>
      </x:c>
    </x:row>
    <x:row r="16" ht="21" customHeight="1">
      <x:c r="C16" s="59" t="str">
        <x:v>cash</x:v>
      </x:c>
      <x:c r="D16" s="14" t="n">
        <x:v>1458.442</x:v>
      </x:c>
      <x:c r="E16" s="14" t="n">
        <x:v>1498.058</x:v>
      </x:c>
      <x:c r="F16" s="14" t="n">
        <x:v>1279.194</x:v>
      </x:c>
      <x:c r="G16" s="14" t="n">
        <x:v>1693.452</x:v>
      </x:c>
      <x:c r="H16" s="14" t="n">
        <x:v>2079.468</x:v>
      </x:c>
    </x:row>
    <x:row r="17" ht="21" customHeight="1">
      <x:c r="C17" s="59" t="str">
        <x:v>ar</x:v>
      </x:c>
      <x:c r="D17" s="14" t="n">
        <x:v>849.469</x:v>
      </x:c>
      <x:c r="E17" s="14" t="n">
        <x:v>843.445</x:v>
      </x:c>
      <x:c r="F17" s="14" t="n">
        <x:v>656.847</x:v>
      </x:c>
      <x:c r="G17" s="14" t="n">
        <x:v>815.243</x:v>
      </x:c>
      <x:c r="H17" s="14" t="n">
        <x:v>983.404</x:v>
      </x:c>
    </x:row>
    <x:row r="18" ht="21" customHeight="1">
      <x:c r="C18" s="59" t="str">
        <x:v>inventory</x:v>
      </x:c>
      <x:c r="D18" s="14" t="n">
        <x:v>762.084</x:v>
      </x:c>
      <x:c r="E18" s="14" t="n">
        <x:v>1227.609</x:v>
      </x:c>
      <x:c r="F18" s="14" t="n">
        <x:v>1515.045</x:v>
      </x:c>
      <x:c r="G18" s="14" t="n">
        <x:v>1345.955</x:v>
      </x:c>
      <x:c r="H18" s="14" t="n">
        <x:v>1473.978</x:v>
      </x:c>
    </x:row>
    <x:row r="19" ht="21" customHeight="1">
      <x:c r="C19" s="59" t="str">
        <x:v>other current assets</x:v>
      </x:c>
      <x:c r="D19" s="14" t="n">
        <x:v>191.569</x:v>
      </x:c>
      <x:c r="E19" s="14" t="n">
        <x:v>328.719</x:v>
      </x:c>
      <x:c r="F19" s="14" t="n">
        <x:v>315.915</x:v>
      </x:c>
      <x:c r="G19" s="14" t="n">
        <x:v>318.556</x:v>
      </x:c>
      <x:c r="H19" s="14" t="n">
        <x:v>353.993</x:v>
      </x:c>
    </x:row>
    <x:row r="20" ht="21" customHeight="1">
      <x:c r="C20" s="59" t="str">
        <x:v>ppe</x:v>
      </x:c>
      <x:c r="D20" s="14" t="n">
        <x:v>855.539</x:v>
      </x:c>
      <x:c r="E20" s="14" t="n">
        <x:v>1067.478</x:v>
      </x:c>
      <x:c r="F20" s="14" t="n">
        <x:v>1147.005</x:v>
      </x:c>
      <x:c r="G20" s="14" t="n">
        <x:v>1224.097</x:v>
      </x:c>
      <x:c r="H20" s="14" t="n">
        <x:v>1236.884</x:v>
      </x:c>
    </x:row>
    <x:row r="21" ht="21" customHeight="1">
      <x:c r="C21" s="59" t="str">
        <x:v>intangibles</x:v>
      </x:c>
      <x:c r="D21" s="14" t="n">
        <x:v>244.356</x:v>
      </x:c>
      <x:c r="E21" s="14" t="n">
        <x:v>215.993</x:v>
      </x:c>
      <x:c r="F21" s="14" t="n">
        <x:v>178.461</x:v>
      </x:c>
      <x:c r="G21" s="14" t="n">
        <x:v>181.145</x:v>
      </x:c>
      <x:c r="H21" s="14" t="n">
        <x:v>154.163</x:v>
      </x:c>
    </x:row>
    <x:row r="22" ht="21" customHeight="1">
      <x:c r="C22" s="59" t="str">
        <x:v>goodwill</x:v>
      </x:c>
      <x:c r="D22" s="14" t="n">
        <x:v>584.21</x:v>
      </x:c>
      <x:c r="E22" s="14" t="n">
        <x:v>575.08</x:v>
      </x:c>
      <x:c r="F22" s="14" t="n">
        <x:v>567.994</x:v>
      </x:c>
      <x:c r="G22" s="14" t="n">
        <x:v>608.474</x:v>
      </x:c>
      <x:c r="H22" s="14" t="n">
        <x:v>603.947</x:v>
      </x:c>
    </x:row>
    <x:row r="23" ht="21" customHeight="1">
      <x:c r="C23" s="59" t="str">
        <x:v>ap</x:v>
      </x:c>
      <x:c r="D23" s="14" t="n">
        <x:v>258.885</x:v>
      </x:c>
      <x:c r="E23" s="14" t="n">
        <x:v>370.048</x:v>
      </x:c>
      <x:c r="F23" s="14" t="n">
        <x:v>212.417</x:v>
      </x:c>
      <x:c r="G23" s="14" t="n">
        <x:v>253.79</x:v>
      </x:c>
      <x:c r="H23" s="14" t="n">
        <x:v>359.365</x:v>
      </x:c>
    </x:row>
    <x:row r="24" ht="21" customHeight="1">
      <x:c r="C24" s="59" t="str">
        <x:v>accrued</x:v>
      </x:c>
      <x:c r="D24" s="14" t="n">
        <x:v>181.767</x:v>
      </x:c>
      <x:c r="E24" s="14" t="n">
        <x:v>225.988</x:v>
      </x:c>
      <x:c r="F24" s="14" t="n">
        <x:v>197.376</x:v>
      </x:c>
      <x:c r="G24" s="14" t="n">
        <x:v>245.874</x:v>
      </x:c>
      <x:c r="H24" s="14" t="n">
        <x:v>216.721</x:v>
      </x:c>
    </x:row>
    <x:row r="25" ht="21" customHeight="1">
      <x:c r="C25" s="59" t="str">
        <x:v>current liabilities</x:v>
      </x:c>
      <x:c r="D25" s="14" t="n">
        <x:v>1164.217</x:v>
      </x:c>
      <x:c r="E25" s="14" t="n">
        <x:v>1448.148</x:v>
      </x:c>
      <x:c r="F25" s="14" t="n">
        <x:v>1211.635</x:v>
      </x:c>
      <x:c r="G25" s="14" t="n">
        <x:v>1310.687</x:v>
      </x:c>
      <x:c r="H25" s="14" t="n">
        <x:v>1507.858</x:v>
      </x:c>
    </x:row>
    <x:row r="26" ht="21" customHeight="1">
      <x:c r="C26" s="59" t="str">
        <x:v>assets</x:v>
      </x:c>
      <x:c r="D26" s="14" t="n">
        <x:v>7031.373</x:v>
      </x:c>
      <x:c r="E26" s="14" t="n">
        <x:v>7854.427</x:v>
      </x:c>
      <x:c r="F26" s="14" t="n">
        <x:v>7731.17</x:v>
      </x:c>
      <x:c r="G26" s="14" t="n">
        <x:v>8603.569</x:v>
      </x:c>
      <x:c r="H26" s="14" t="n">
        <x:v>9630.527</x:v>
      </x:c>
    </x:row>
    <x:row r="27" ht="21" customHeight="1">
      <x:c r="C27" s="59" t="str">
        <x:v>equity</x:v>
      </x:c>
      <x:c r="D27" s="14" t="n">
        <x:v>5516.116</x:v>
      </x:c>
      <x:c r="E27" s="14" t="n">
        <x:v>6114.159</x:v>
      </x:c>
      <x:c r="F27" s="14" t="n">
        <x:v>6204.34</x:v>
      </x:c>
      <x:c r="G27" s="14" t="n">
        <x:v>7012.06</x:v>
      </x:c>
      <x:c r="H27" s="14" t="n">
        <x:v>7848.398</x:v>
      </x:c>
    </x:row>
    <x:row r="28" ht="21" customHeight="1">
      <x:c r="C28" s="59" t="str">
        <x:v>investments</x:v>
      </x:c>
      <x:c r="D28" s="14" t="n">
        <x:v>1518.817</x:v>
      </x:c>
      <x:c r="E28" s="14" t="n">
        <x:v>1616.678</x:v>
      </x:c>
      <x:c r="F28" s="14" t="n">
        <x:v>1381.648</x:v>
      </x:c>
      <x:c r="G28" s="14" t="n">
        <x:v>1399.809</x:v>
      </x:c>
      <x:c r="H28" s="14" t="n">
        <x:v>1619.601</x:v>
      </x:c>
    </x:row>
    <x:row r="29" ht="21" customHeight="1">
      <x:c r="C29" s="59" t="str">
        <x:v>cfo</x:v>
      </x:c>
      <x:c r="D29" s="14" t="n">
        <x:v>1135.267</x:v>
      </x:c>
      <x:c r="E29" s="14" t="n">
        <x:v>1012.427</x:v>
      </x:c>
      <x:c r="F29" s="14" t="n">
        <x:v>788.259</x:v>
      </x:c>
      <x:c r="G29" s="14" t="n">
        <x:v>1376.265</x:v>
      </x:c>
      <x:c r="H29" s="14" t="n">
        <x:v>1432.471</x:v>
      </x:c>
    </x:row>
    <x:row r="30" ht="21" customHeight="1">
      <x:c r="C30" s="59" t="str">
        <x:v>capex</x:v>
      </x:c>
      <x:c r="D30" s="14" t="n">
        <x:v>185.401</x:v>
      </x:c>
      <x:c r="E30" s="14" t="n">
        <x:v>307.645</x:v>
      </x:c>
      <x:c r="F30" s="14" t="n">
        <x:v>244.286</x:v>
      </x:c>
      <x:c r="G30" s="14" t="n">
        <x:v>193.524</x:v>
      </x:c>
      <x:c r="H30" s="14" t="n">
        <x:v>193.571</x:v>
      </x:c>
    </x:row>
    <x:row r="31" ht="21" customHeight="1">
      <x:c r="C31" s="59" t="str">
        <x:v>cfi</x:v>
      </x:c>
      <x:c r="D31" s="14" t="n">
        <x:v>-260.524</x:v>
      </x:c>
      <x:c r="E31" s="14" t="n">
        <x:v>-475.369</x:v>
      </x:c>
      <x:c r="F31" s="14" t="n">
        <x:v>-145.124</x:v>
      </x:c>
      <x:c r="G31" s="14" t="n">
        <x:v>-332.972</x:v>
      </x:c>
      <x:c r="H31" s="14" t="n">
        <x:v>-393.333</x:v>
      </x:c>
    </x:row>
    <x:row r="32" ht="21" customHeight="1">
      <x:c r="C32" s="59" t="str">
        <x:v>cff</x:v>
      </x:c>
      <x:c r="D32" s="14" t="n">
        <x:v>-461.76</x:v>
      </x:c>
      <x:c r="E32" s="14" t="n">
        <x:v>-486.709</x:v>
      </x:c>
      <x:c r="F32" s="14" t="n">
        <x:v>-840.617</x:v>
      </x:c>
      <x:c r="G32" s="14" t="n">
        <x:v>-636.509</x:v>
      </x:c>
      <x:c r="H32" s="14" t="n">
        <x:v>-626.857</x:v>
      </x:c>
    </x:row>
    <x:row r="33" ht="21" customHeight="1">
      <x:c r="C33" s="59" t="str">
        <x:v>dividends</x:v>
      </x:c>
      <x:c r="D33" s="14" t="n">
        <x:v>450.631</x:v>
      </x:c>
      <x:c r="E33" s="14" t="n">
        <x:v>491.457</x:v>
      </x:c>
      <x:c r="F33" s="14" t="n">
        <x:v>679.096</x:v>
      </x:c>
      <x:c r="G33" s="14" t="n">
        <x:v>558.769</x:v>
      </x:c>
      <x:c r="H33" s="14" t="n">
        <x:v>572.355</x:v>
      </x:c>
    </x:row>
    <x:row r="34" ht="21" customHeight="1">
      <x:c r="C34" s="59" t="str">
        <x:v>employee share withholding</x:v>
      </x:c>
      <x:c r="D34" s="14" t="n">
        <x:v>26.33</x:v>
      </x:c>
      <x:c r="E34" s="14" t="n">
        <x:v>30.985</x:v>
      </x:c>
      <x:c r="F34" s="14" t="n">
        <x:v>22.73</x:v>
      </x:c>
      <x:c r="G34" s="14" t="n">
        <x:v>22.815</x:v>
      </x:c>
      <x:c r="H34" s="14" t="n">
        <x:v>42.117</x:v>
      </x:c>
    </x:row>
    <x:row r="35" ht="21" customHeight="1">
      <x:c r="C35" s="59" t="str">
        <x:v>sbc</x:v>
      </x:c>
      <x:c r="D35" s="14" t="n">
        <x:v>80.885</x:v>
      </x:c>
      <x:c r="E35" s="14" t="n">
        <x:v>92.522</x:v>
      </x:c>
      <x:c r="F35" s="14" t="n">
        <x:v>76.801</x:v>
      </x:c>
      <x:c r="G35" s="14" t="n">
        <x:v>101.422</x:v>
      </x:c>
      <x:c r="H35" s="14" t="n">
        <x:v>137.162</x:v>
      </x:c>
    </x:row>
    <x:row r="36" ht="21" customHeight="1">
      <x:c r="C36" s="59" t="str">
        <x:v>restricted cash total</x:v>
      </x:c>
      <x:c r="D36" s="14" t="n">
        <x:v>1458.748</x:v>
      </x:c>
      <x:c r="E36" s="14" t="n">
        <x:v>1498.843</x:v>
      </x:c>
      <x:c r="F36" s="14" t="n">
        <x:v>1279.912</x:v>
      </x:c>
      <x:c r="G36" s="14" t="n">
        <x:v>1694.156</x:v>
      </x:c>
      <x:c r="H36" s="14" t="n">
        <x:v>2080.154</x:v>
      </x:c>
    </x:row>
    <x:row r="37" ht="21" customHeight="1">
      <x:c r="C37" s="59" t="str">
        <x:v>cash change</x:v>
      </x:c>
      <x:c r="D37" s="14" t="n">
        <x:v>431.11</x:v>
      </x:c>
      <x:c r="E37" s="14" t="n">
        <x:v>40.095</x:v>
      </x:c>
      <x:c r="F37" s="14" t="n">
        <x:v>-218.931</x:v>
      </x:c>
      <x:c r="G37" s="14" t="n">
        <x:v>414.244</x:v>
      </x:c>
      <x:c r="H37" s="14" t="n">
        <x:v>385.998</x:v>
      </x:c>
    </x:row>
    <x:row r="38" ht="21" customHeight="1">
      <x:c r="C38" s="59" t="str">
        <x:v>fx cash</x:v>
      </x:c>
      <x:c r="D38" s="14" t="n">
        <x:v>18.127</x:v>
      </x:c>
      <x:c r="E38" s="14" t="n">
        <x:v>-10.254</x:v>
      </x:c>
      <x:c r="F38" s="14" t="n">
        <x:v>-21.449</x:v>
      </x:c>
      <x:c r="G38" s="14" t="n">
        <x:v>7.46</x:v>
      </x:c>
      <x:c r="H38" s="14" t="n">
        <x:v>-26.283</x:v>
      </x:c>
    </x:row>
    <x:row r="39" ht="21" customHeight="1">
      <x:c r="C39" s="59" t="str">
        <x:v>acquisitions</x:v>
      </x:c>
      <x:c r="D39" s="14" t="n">
        <x:v>148.648</x:v>
      </x:c>
      <x:c r="E39" s="14" t="n">
        <x:v>20.175</x:v>
      </x:c>
      <x:c r="F39" s="14" t="n">
        <x:v>13.455</x:v>
      </x:c>
      <x:c r="G39" s="14" t="n">
        <x:v>150.853</x:v>
      </x:c>
      <x:c r="H39" s="14" t="n">
        <x:v>16.444</x:v>
      </x:c>
    </x:row>
    <x:row r="40" ht="21" customHeight="1">
      <x:c r="C40" s="59" t="str">
        <x:v>repurchase plan</x:v>
      </x:c>
      <x:c r="D40" s="14" t="n">
        <x:v>0</x:v>
      </x:c>
      <x:c r="E40" s="14" t="n">
        <x:v>0</x:v>
      </x:c>
      <x:c r="F40" s="14" t="n">
        <x:v>201.012</x:v>
      </x:c>
      <x:c r="G40" s="14" t="n">
        <x:v>98.988</x:v>
      </x:c>
      <x:c r="H40" s="14" t="n">
        <x:v>62.348</x:v>
      </x:c>
    </x:row>
    <x:row r="41" ht="21" customHeight="1">
      <x:c r="C41" s="59" t="str">
        <x:v>buybacks</x:v>
      </x:c>
      <x:c r="D41" s="15" t="n">
        <x:f>D34+D40</x:f>
        <x:v>26.33</x:v>
      </x:c>
      <x:c r="E41" s="15" t="n">
        <x:f>E34+E40</x:f>
        <x:v>30.985</x:v>
      </x:c>
      <x:c r="F41" s="15" t="n">
        <x:f>F34+F40</x:f>
        <x:v>223.742</x:v>
      </x:c>
      <x:c r="G41" s="15" t="n">
        <x:f>G34+G40</x:f>
        <x:v>121.803</x:v>
      </x:c>
      <x:c r="H41" s="15" t="n">
        <x:f>H34+H40</x:f>
        <x:v>104.465</x:v>
      </x:c>
    </x:row>
    <x:row r="42" ht="21" customHeight="1">
      <x:c r="C42" s="59" t="str">
        <x:v>debt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</x:row>
    <x:row r="43" ht="21" customHeight="1">
      <x:c r="C43" s="59" t="str">
        <x:v>interest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</x:row>
    <x:row r="44" ht="21" customHeight="1">
      <x:c r="C44" s="59" t="str">
        <x:v>debt issuance</x:v>
      </x:c>
      <x:c r="D44" s="14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</x:row>
    <x:row r="45" ht="21" customHeight="1">
      <x:c r="C45" s="59" t="str">
        <x:v>debt repayment</x:v>
      </x:c>
      <x:c r="D45" s="14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</x:row>
    <x:row r="46" ht="21" customHeight="1">
      <x:c r="C46" s="59" t="str">
        <x:v>da</x:v>
      </x:c>
      <x:c r="D46" s="15" t="n">
        <x:f>D12+D13</x:f>
        <x:v>112.91799999999999</x:v>
      </x:c>
      <x:c r="E46" s="15" t="n">
        <x:f>E12+E13</x:f>
        <x:v>139.038</x:v>
      </x:c>
      <x:c r="F46" s="15" t="n">
        <x:f>F12+F13</x:f>
        <x:v>149.304</x:v>
      </x:c>
      <x:c r="G46" s="15" t="n">
        <x:f>G12+G13</x:f>
        <x:v>162.86</x:v>
      </x:c>
      <x:c r="H46" s="15" t="n">
        <x:f>H12+H13</x:f>
        <x:v>171.16</x:v>
      </x:c>
    </x:row>
    <x:row r="47" ht="21" customHeight="1">
      <x:c r="C47" s="59" t="str">
        <x:v>ebitda</x:v>
      </x:c>
      <x:c r="D47" s="15" t="n">
        <x:f>D9+D46</x:f>
        <x:v>1167.158</x:v>
      </x:c>
      <x:c r="E47" s="15" t="n">
        <x:f>E9+E46</x:f>
        <x:v>1357.658</x:v>
      </x:c>
      <x:c r="F47" s="15" t="n">
        <x:f>F9+F46</x:f>
        <x:v>1177.1490000000001</x:v>
      </x:c>
      <x:c r="G47" s="15" t="n">
        <x:f>G9+G46</x:f>
        <x:v>1255.02</x:v>
      </x:c>
      <x:c r="H47" s="15" t="n">
        <x:f>H9+H46</x:f>
        <x:v>1765.154</x:v>
      </x:c>
    </x:row>
    <x:row r="48" ht="21" customHeight="1">
      <x:c r="C48" s="59" t="str">
        <x:v>other assets</x:v>
      </x:c>
      <x:c r="D48" s="15" t="n">
        <x:f>D26-D16-D17-D18-D19-D20-D21-D22-D28</x:f>
        <x:v>566.8869999999997</x:v>
      </x:c>
      <x:c r="E48" s="15" t="n">
        <x:f>E26-E16-E17-E18-E19-E20-E21-E22-E28</x:f>
        <x:v>481.3670000000004</x:v>
      </x:c>
      <x:c r="F48" s="15" t="n">
        <x:f>F26-F16-F17-F18-F19-F20-F21-F22-F28</x:f>
        <x:v>689.0610000000004</x:v>
      </x:c>
      <x:c r="G48" s="15" t="n">
        <x:f>G26-G16-G17-G18-G19-G20-G21-G22-G28</x:f>
        <x:v>1016.8379999999995</x:v>
      </x:c>
      <x:c r="H48" s="15" t="n">
        <x:f>H26-H16-H17-H18-H19-H20-H21-H22-H28</x:f>
        <x:v>1125.089</x:v>
      </x:c>
    </x:row>
    <x:row r="49" ht="21" customHeight="1">
      <x:c r="C49" s="59" t="str">
        <x:v>other current liabilities</x:v>
      </x:c>
      <x:c r="D49" s="15" t="n">
        <x:f>D25-D23-D24</x:f>
        <x:v>723.565</x:v>
      </x:c>
      <x:c r="E49" s="15" t="n">
        <x:f>E25-E23-E24</x:f>
        <x:v>852.1119999999999</x:v>
      </x:c>
      <x:c r="F49" s="15" t="n">
        <x:f>F25-F23-F24</x:f>
        <x:v>801.842</x:v>
      </x:c>
      <x:c r="G49" s="15" t="n">
        <x:f>G25-G23-G24</x:f>
        <x:v>811.0229999999999</x:v>
      </x:c>
      <x:c r="H49" s="15" t="n">
        <x:f>H25-H23-H24</x:f>
        <x:v>931.7719999999999</x:v>
      </x:c>
    </x:row>
    <x:row r="50" ht="21" customHeight="1">
      <x:c r="C50" s="59" t="str">
        <x:v>other liabilities</x:v>
      </x:c>
      <x:c r="D50" s="15" t="n">
        <x:f>D26-D27-D25-D42</x:f>
        <x:v>351.0399999999995</x:v>
      </x:c>
      <x:c r="E50" s="15" t="n">
        <x:f>E26-E27-E25-E42</x:f>
        <x:v>292.1200000000001</x:v>
      </x:c>
      <x:c r="F50" s="15" t="n">
        <x:f>F26-F27-F25-F42</x:f>
        <x:v>315.19499999999994</x:v>
      </x:c>
      <x:c r="G50" s="15" t="n">
        <x:f>G26-G27-G25-G42</x:f>
        <x:v>280.8219999999992</x:v>
      </x:c>
      <x:c r="H50" s="15" t="n">
        <x:f>H26-H27-H25-H42</x:f>
        <x:v>274.27099999999996</x:v>
      </x:c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 t="str">
        <x:v>Fiscal period end</x:v>
      </x:c>
      <x:c r="D52" s="2" t="str">
        <x:v>2020-12-26</x:v>
      </x:c>
      <x:c r="E52" s="2" t="str">
        <x:v>2021-12-25</x:v>
      </x:c>
      <x:c r="F52" s="2" t="str">
        <x:v>2022-12-31</x:v>
      </x:c>
      <x:c r="G52" s="2" t="str">
        <x:v>2023-12-30</x:v>
      </x:c>
      <x:c r="H52" s="2" t="str">
        <x:v>2024-12-28</x:v>
      </x:c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Operating Forecast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Fitness</x:v>
      </x:c>
      <x:c r="D6" s="12" t="n">
        <x:f>$D$24*(1+'Assumptions'!D99+'Assumptions'!D9)</x:f>
        <x:v>1934.1908300000002</x:v>
      </x:c>
      <x:c r="E6" s="12" t="n">
        <x:f>D6*(1+'Assumptions'!E99+'Assumptions'!E9)</x:f>
        <x:v>2108.2680047000003</x:v>
      </x:c>
      <x:c r="F6" s="12" t="n">
        <x:f>E6*(1+'Assumptions'!F99+'Assumptions'!F9)</x:f>
        <x:v>2298.0121251230007</x:v>
      </x:c>
      <x:c r="G6" s="12" t="n">
        <x:f>F6*(1+'Assumptions'!G99+'Assumptions'!G9)</x:f>
        <x:v>2504.833216384071</x:v>
      </x:c>
      <x:c r="H6" s="12" t="n">
        <x:f>G6*(1+'Assumptions'!H99+'Assumptions'!H9)</x:f>
        <x:v>2730.2682058586374</x:v>
      </x:c>
    </x:row>
    <x:row r="7" ht="21" customHeight="1">
      <x:c r="C7" s="59" t="str">
        <x:v>Outdoor</x:v>
      </x:c>
      <x:c r="D7" s="12" t="n">
        <x:f>$D$25*(1+'Assumptions'!D104+'Assumptions'!D9)</x:f>
        <x:v>2079.7094</x:v>
      </x:c>
      <x:c r="E7" s="12" t="n">
        <x:f>D7*(1+'Assumptions'!E104+'Assumptions'!E9)</x:f>
        <x:v>2204.4919640000003</x:v>
      </x:c>
      <x:c r="F7" s="12" t="n">
        <x:f>E7*(1+'Assumptions'!F104+'Assumptions'!F9)</x:f>
        <x:v>2336.76148184</x:v>
      </x:c>
      <x:c r="G7" s="12" t="n">
        <x:f>F7*(1+'Assumptions'!G104+'Assumptions'!G9)</x:f>
        <x:v>2476.9671707504003</x:v>
      </x:c>
      <x:c r="H7" s="12" t="n">
        <x:f>G7*(1+'Assumptions'!H104+'Assumptions'!H9)</x:f>
        <x:v>2625.5852009954247</x:v>
      </x:c>
    </x:row>
    <x:row r="8" ht="21" customHeight="1">
      <x:c r="C8" s="59" t="str">
        <x:v>Aviation</x:v>
      </x:c>
      <x:c r="D8" s="12" t="n">
        <x:f>$D$26*(1+'Assumptions'!D109+'Assumptions'!D9)</x:f>
        <x:v>920.4447000000001</x:v>
      </x:c>
      <x:c r="E8" s="12" t="n">
        <x:f>D8*(1+'Assumptions'!E109+'Assumptions'!E9)</x:f>
        <x:v>966.4669350000001</x:v>
      </x:c>
      <x:c r="F8" s="12" t="n">
        <x:f>E8*(1+'Assumptions'!F109+'Assumptions'!F9)</x:f>
        <x:v>1014.7902817500002</x:v>
      </x:c>
      <x:c r="G8" s="12" t="n">
        <x:f>F8*(1+'Assumptions'!G109+'Assumptions'!G9)</x:f>
        <x:v>1065.5297958375002</x:v>
      </x:c>
      <x:c r="H8" s="12" t="n">
        <x:f>G8*(1+'Assumptions'!H109+'Assumptions'!H9)</x:f>
        <x:v>1118.8062856293752</x:v>
      </x:c>
    </x:row>
    <x:row r="9" ht="21" customHeight="1">
      <x:c r="C9" s="59" t="str">
        <x:v>Marine</x:v>
      </x:c>
      <x:c r="D9" s="12" t="n">
        <x:f>$D$27*(1+'Assumptions'!D114+'Assumptions'!D9)</x:f>
        <x:v>1137.5835200000001</x:v>
      </x:c>
      <x:c r="E9" s="12" t="n">
        <x:f>D9*(1+'Assumptions'!E114+'Assumptions'!E9)</x:f>
        <x:v>1205.8385312000003</x:v>
      </x:c>
      <x:c r="F9" s="12" t="n">
        <x:f>E9*(1+'Assumptions'!F114+'Assumptions'!F9)</x:f>
        <x:v>1278.1888430720003</x:v>
      </x:c>
      <x:c r="G9" s="12" t="n">
        <x:f>F9*(1+'Assumptions'!G114+'Assumptions'!G9)</x:f>
        <x:v>1354.8801736563203</x:v>
      </x:c>
      <x:c r="H9" s="12" t="n">
        <x:f>G9*(1+'Assumptions'!H114+'Assumptions'!H9)</x:f>
        <x:v>1436.1729840756996</x:v>
      </x:c>
    </x:row>
    <x:row r="10" ht="21" customHeight="1">
      <x:c r="C10" s="59" t="str">
        <x:v>Auto OEM</x:v>
      </x:c>
      <x:c r="D10" s="12" t="n">
        <x:f>$D$28*(1+'Assumptions'!D119+'Assumptions'!D9)</x:f>
        <x:v>702.213</x:v>
      </x:c>
      <x:c r="E10" s="12" t="n">
        <x:f>D10*(1+'Assumptions'!E119+'Assumptions'!E9)</x:f>
        <x:v>807.5449499999999</x:v>
      </x:c>
      <x:c r="F10" s="12" t="n">
        <x:f>E10*(1+'Assumptions'!F119+'Assumptions'!F9)</x:f>
        <x:v>928.6766924999997</x:v>
      </x:c>
      <x:c r="G10" s="12" t="n">
        <x:f>F10*(1+'Assumptions'!G119+'Assumptions'!G9)</x:f>
        <x:v>1067.9781963749997</x:v>
      </x:c>
      <x:c r="H10" s="12" t="n">
        <x:f>G10*(1+'Assumptions'!H119+'Assumptions'!H9)</x:f>
        <x:v>1228.1749258312495</x:v>
      </x:c>
    </x:row>
    <x:row r="11" ht="21" customHeight="1">
      <x:c r="C11" s="61" t="str">
        <x:v>Revenue</x:v>
      </x:c>
      <x:c r="D11" s="50" t="n">
        <x:f>SUM(D6:D10)</x:f>
        <x:v>6774.14145</x:v>
      </x:c>
      <x:c r="E11" s="50" t="n">
        <x:f>SUM(E6:E10)</x:f>
        <x:v>7292.6103849</x:v>
      </x:c>
      <x:c r="F11" s="50" t="n">
        <x:f>SUM(F6:F10)</x:f>
        <x:v>7856.429424285001</x:v>
      </x:c>
      <x:c r="G11" s="50" t="n">
        <x:f>SUM(G6:G10)</x:f>
        <x:v>8470.188553003292</x:v>
      </x:c>
      <x:c r="H11" s="50" t="n">
        <x:f>SUM(H6:H10)</x:f>
        <x:v>9139.007602390388</x:v>
      </x:c>
    </x:row>
    <x:row r="12" ht="21" customHeight="1">
      <x:c r="C12" s="59" t="str">
        <x:v>Cash COGS</x:v>
      </x:c>
      <x:c r="D12" s="12" t="n">
        <x:f>D11*'Assumptions'!D19</x:f>
        <x:v>2797.72041885</x:v>
      </x:c>
      <x:c r="E12" s="12" t="n">
        <x:f>E11*'Assumptions'!E19</x:f>
        <x:v>3011.8480889637</x:v>
      </x:c>
      <x:c r="F12" s="12" t="n">
        <x:f>F11*'Assumptions'!F19</x:f>
        <x:v>3244.705352229705</x:v>
      </x:c>
      <x:c r="G12" s="12" t="n">
        <x:f>G11*'Assumptions'!G19</x:f>
        <x:v>3498.1878723903596</x:v>
      </x:c>
      <x:c r="H12" s="12" t="n">
        <x:f>H11*'Assumptions'!H19</x:f>
        <x:v>3774.41013978723</x:v>
      </x:c>
    </x:row>
    <x:row r="13" ht="21" customHeight="1">
      <x:c r="C13" s="59" t="str">
        <x:v>Cash R&amp;D</x:v>
      </x:c>
      <x:c r="D13" s="12" t="n">
        <x:f>D11*'Assumptions'!D24</x:f>
        <x:v>1070.3143491</x:v>
      </x:c>
      <x:c r="E13" s="12" t="n">
        <x:f>E11*'Assumptions'!E24</x:f>
        <x:v>1152.2324408142001</x:v>
      </x:c>
      <x:c r="F13" s="12" t="n">
        <x:f>F11*'Assumptions'!F24</x:f>
        <x:v>1241.3158490370301</x:v>
      </x:c>
      <x:c r="G13" s="12" t="n">
        <x:f>G11*'Assumptions'!G24</x:f>
        <x:v>1338.2897913745203</x:v>
      </x:c>
      <x:c r="H13" s="12" t="n">
        <x:f>H11*'Assumptions'!H24</x:f>
        <x:v>1443.9632011776812</x:v>
      </x:c>
    </x:row>
    <x:row r="14" ht="21" customHeight="1">
      <x:c r="C14" s="59" t="str">
        <x:v>Cash SG&amp;A</x:v>
      </x:c>
      <x:c r="D14" s="12" t="n">
        <x:f>D11*('Assumptions'!D29-'Assumptions'!D14)</x:f>
        <x:v>1009.3470760499999</x:v>
      </x:c>
      <x:c r="E14" s="12" t="n">
        <x:f>E11*('Assumptions'!E29-'Assumptions'!E14)</x:f>
        <x:v>1086.5989473501</x:v>
      </x:c>
      <x:c r="F14" s="12" t="n">
        <x:f>F11*('Assumptions'!F29-'Assumptions'!F14)</x:f>
        <x:v>1170.6079842184652</x:v>
      </x:c>
      <x:c r="G14" s="12" t="n">
        <x:f>G11*('Assumptions'!G29-'Assumptions'!G14)</x:f>
        <x:v>1262.0580943974905</x:v>
      </x:c>
      <x:c r="H14" s="12" t="n">
        <x:f>H11*('Assumptions'!H29-'Assumptions'!H14)</x:f>
        <x:v>1361.7121327561676</x:v>
      </x:c>
    </x:row>
    <x:row r="15" ht="21" customHeight="1">
      <x:c r="C15" s="59" t="str">
        <x:v>CapEx</x:v>
      </x:c>
      <x:c r="D15" s="12" t="n">
        <x:f>D11*'Assumptions'!D34</x:f>
        <x:v>237.09495075000004</x:v>
      </x:c>
      <x:c r="E15" s="12" t="n">
        <x:f>E11*'Assumptions'!E34</x:f>
        <x:v>255.24136347150002</x:v>
      </x:c>
      <x:c r="F15" s="12" t="n">
        <x:f>F11*'Assumptions'!F34</x:f>
        <x:v>274.97502984997504</x:v>
      </x:c>
      <x:c r="G15" s="12" t="n">
        <x:f>G11*'Assumptions'!G34</x:f>
        <x:v>296.45659935511526</x:v>
      </x:c>
      <x:c r="H15" s="12" t="n">
        <x:f>H11*'Assumptions'!H34</x:f>
        <x:v>319.8652660836636</x:v>
      </x:c>
    </x:row>
    <x:row r="16" ht="21" customHeight="1">
      <x:c r="C16" s="59" t="str">
        <x:v>Depreciation</x:v>
      </x:c>
      <x:c r="D16" s="12" t="n">
        <x:f>MIN('Historicals'!H20+D15,('Historicals'!H20+0.5*D15)*'Assumptions'!D39)</x:f>
        <x:v>149.09746229125</x:v>
      </x:c>
      <x:c r="E16" s="12" t="n">
        <x:f>MIN('Balance Sheet'!D10+E15,('Balance Sheet'!D10+0.5*E15)*'Assumptions'!E39)</x:f>
        <x:v>159.775238721395</x:v>
      </x:c>
      <x:c r="F16" s="12" t="n">
        <x:f>MIN('Balance Sheet'!E10+F15,('Balance Sheet'!E10+0.5*F15)*'Assumptions'!F39)</x:f>
        <x:v>171.3618640947227</x:v>
      </x:c>
      <x:c r="G16" s="12" t="n">
        <x:f>MIN('Balance Sheet'!F10+G15,('Balance Sheet'!F10+0.5*G15)*'Assumptions'!G39)</x:f>
        <x:v>183.94079865058316</x:v>
      </x:c>
      <x:c r="H16" s="12" t="n">
        <x:f>MIN('Balance Sheet'!G10+H15,('Balance Sheet'!G10+0.5*H15)*'Assumptions'!H39)</x:f>
        <x:v>197.60501339815184</x:v>
      </x:c>
    </x:row>
    <x:row r="17" ht="21" customHeight="1">
      <x:c r="C17" s="59" t="str">
        <x:v>Intangible amortization</x:v>
      </x:c>
      <x:c r="D17" s="12" t="n">
        <x:f>MIN('Historicals'!H21,'Assumptions'!D44)</x:f>
        <x:v>30.666</x:v>
      </x:c>
      <x:c r="E17" s="12" t="n">
        <x:f>MIN('Balance Sheet'!D11,'Assumptions'!E44)</x:f>
        <x:v>30.666</x:v>
      </x:c>
      <x:c r="F17" s="12" t="n">
        <x:f>MIN('Balance Sheet'!E11,'Assumptions'!F44)</x:f>
        <x:v>30.666</x:v>
      </x:c>
      <x:c r="G17" s="12" t="n">
        <x:f>MIN('Balance Sheet'!F11,'Assumptions'!G44)</x:f>
        <x:v>30.666</x:v>
      </x:c>
      <x:c r="H17" s="12" t="n">
        <x:f>MIN('Balance Sheet'!G11,'Assumptions'!H44)</x:f>
        <x:v>30.666</x:v>
      </x:c>
    </x:row>
    <x:row r="18" ht="21" customHeight="1">
      <x:c r="C18" s="59" t="str">
        <x:v>D&amp;A</x:v>
      </x:c>
      <x:c r="D18" s="15" t="n">
        <x:f>SUM(D16:D17)</x:f>
        <x:v>179.76346229125</x:v>
      </x:c>
      <x:c r="E18" s="15" t="n">
        <x:f>SUM(E16:E17)</x:f>
        <x:v>190.441238721395</x:v>
      </x:c>
      <x:c r="F18" s="15" t="n">
        <x:f>SUM(F16:F17)</x:f>
        <x:v>202.0278640947227</x:v>
      </x:c>
      <x:c r="G18" s="15" t="n">
        <x:f>SUM(G16:G17)</x:f>
        <x:v>214.60679865058316</x:v>
      </x:c>
      <x:c r="H18" s="15" t="n">
        <x:f>SUM(H16:H17)</x:f>
        <x:v>228.27101339815184</x:v>
      </x:c>
    </x:row>
    <x:row r="19" ht="21" customHeight="1">
      <x:c r="C19" s="61" t="str">
        <x:v>EBITDA</x:v>
      </x:c>
      <x:c r="D19" s="50" t="n">
        <x:f>D11-SUM(D12:D14)</x:f>
        <x:v>1896.7596060000005</x:v>
      </x:c>
      <x:c r="E19" s="50" t="n">
        <x:f>E11-SUM(E12:E14)</x:f>
        <x:v>2041.930907772</x:v>
      </x:c>
      <x:c r="F19" s="50" t="n">
        <x:f>F11-SUM(F12:F14)</x:f>
        <x:v>2199.8002387998004</x:v>
      </x:c>
      <x:c r="G19" s="50" t="n">
        <x:f>G11-SUM(G12:G14)</x:f>
        <x:v>2371.652794840922</x:v>
      </x:c>
      <x:c r="H19" s="50" t="n">
        <x:f>H11-SUM(H12:H14)</x:f>
        <x:v>2558.922128669308</x:v>
      </x:c>
    </x:row>
    <x:row r="20" ht="21" customHeight="1">
      <x:c r="C20" s="61" t="str">
        <x:v>EBIT</x:v>
      </x:c>
      <x:c r="D20" s="50" t="n">
        <x:f>D19-D18</x:f>
        <x:v>1716.9961437087504</x:v>
      </x:c>
      <x:c r="E20" s="50" t="n">
        <x:f>E19-E18</x:f>
        <x:v>1851.489669050605</x:v>
      </x:c>
      <x:c r="F20" s="50" t="n">
        <x:f>F19-F18</x:f>
        <x:v>1997.7723747050777</x:v>
      </x:c>
      <x:c r="G20" s="50" t="n">
        <x:f>G19-G18</x:f>
        <x:v>2157.045996190339</x:v>
      </x:c>
      <x:c r="H20" s="50" t="n">
        <x:f>H19-H18</x:f>
        <x:v>2330.6511152711564</x:v>
      </x:c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 t="str">
        <x:v>Fitness opening sales</x:v>
      </x:c>
      <x:c r="D24" s="2" t="n">
        <x:v>1774.487</x:v>
      </x:c>
      <x:c r="E24" s="2"/>
      <x:c r="F24" s="2"/>
      <x:c r="G24" s="2"/>
      <x:c r="H24" s="2"/>
    </x:row>
    <x:row r="25" ht="21" customHeight="1">
      <x:c r="C25" s="59" t="str">
        <x:v>Outdoor opening sales</x:v>
      </x:c>
      <x:c r="D25" s="2" t="n">
        <x:v>1961.99</x:v>
      </x:c>
      <x:c r="E25" s="2"/>
      <x:c r="F25" s="2"/>
      <x:c r="G25" s="2"/>
      <x:c r="H25" s="2"/>
    </x:row>
    <x:row r="26" ht="21" customHeight="1">
      <x:c r="C26" s="59" t="str">
        <x:v>Aviation opening sales</x:v>
      </x:c>
      <x:c r="D26" s="2" t="n">
        <x:v>876.614</x:v>
      </x:c>
      <x:c r="E26" s="2"/>
      <x:c r="F26" s="2"/>
      <x:c r="G26" s="2"/>
      <x:c r="H26" s="2"/>
    </x:row>
    <x:row r="27" ht="21" customHeight="1">
      <x:c r="C27" s="59" t="str">
        <x:v>Marine opening sales</x:v>
      </x:c>
      <x:c r="D27" s="2" t="n">
        <x:v>1073.192</x:v>
      </x:c>
      <x:c r="E27" s="2"/>
      <x:c r="F27" s="2"/>
      <x:c r="G27" s="2"/>
      <x:c r="H27" s="2"/>
    </x:row>
    <x:row r="28" ht="21" customHeight="1">
      <x:c r="C28" s="59" t="str">
        <x:v>Auto OEM opening sales</x:v>
      </x:c>
      <x:c r="D28" s="2" t="n">
        <x:v>610.62</x:v>
      </x:c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Income Statement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Revenue</x:v>
      </x:c>
      <x:c r="D6" s="12" t="n">
        <x:f>'Operating Forecast'!D11</x:f>
        <x:v>6774.14145</x:v>
      </x:c>
      <x:c r="E6" s="12" t="n">
        <x:f>'Operating Forecast'!E11</x:f>
        <x:v>7292.6103849</x:v>
      </x:c>
      <x:c r="F6" s="12" t="n">
        <x:f>'Operating Forecast'!F11</x:f>
        <x:v>7856.429424285001</x:v>
      </x:c>
      <x:c r="G6" s="12" t="n">
        <x:f>'Operating Forecast'!G11</x:f>
        <x:v>8470.188553003292</x:v>
      </x:c>
      <x:c r="H6" s="12" t="n">
        <x:f>'Operating Forecast'!H11</x:f>
        <x:v>9139.007602390388</x:v>
      </x:c>
    </x:row>
    <x:row r="7" ht="21" customHeight="1">
      <x:c r="C7" s="59" t="str">
        <x:v>Cash COGS</x:v>
      </x:c>
      <x:c r="D7" s="12" t="n">
        <x:f>'Operating Forecast'!D12</x:f>
        <x:v>2797.72041885</x:v>
      </x:c>
      <x:c r="E7" s="12" t="n">
        <x:f>'Operating Forecast'!E12</x:f>
        <x:v>3011.8480889637</x:v>
      </x:c>
      <x:c r="F7" s="12" t="n">
        <x:f>'Operating Forecast'!F12</x:f>
        <x:v>3244.705352229705</x:v>
      </x:c>
      <x:c r="G7" s="12" t="n">
        <x:f>'Operating Forecast'!G12</x:f>
        <x:v>3498.1878723903596</x:v>
      </x:c>
      <x:c r="H7" s="12" t="n">
        <x:f>'Operating Forecast'!H12</x:f>
        <x:v>3774.41013978723</x:v>
      </x:c>
    </x:row>
    <x:row r="8" ht="21" customHeight="1">
      <x:c r="C8" s="59" t="str">
        <x:v>Cash R&amp;D</x:v>
      </x:c>
      <x:c r="D8" s="12" t="n">
        <x:f>'Operating Forecast'!D13</x:f>
        <x:v>1070.3143491</x:v>
      </x:c>
      <x:c r="E8" s="12" t="n">
        <x:f>'Operating Forecast'!E13</x:f>
        <x:v>1152.2324408142001</x:v>
      </x:c>
      <x:c r="F8" s="12" t="n">
        <x:f>'Operating Forecast'!F13</x:f>
        <x:v>1241.3158490370301</x:v>
      </x:c>
      <x:c r="G8" s="12" t="n">
        <x:f>'Operating Forecast'!G13</x:f>
        <x:v>1338.2897913745203</x:v>
      </x:c>
      <x:c r="H8" s="12" t="n">
        <x:f>'Operating Forecast'!H13</x:f>
        <x:v>1443.9632011776812</x:v>
      </x:c>
    </x:row>
    <x:row r="9" ht="21" customHeight="1">
      <x:c r="C9" s="59" t="str">
        <x:v>Cash SG&amp;A</x:v>
      </x:c>
      <x:c r="D9" s="12" t="n">
        <x:f>'Operating Forecast'!D14</x:f>
        <x:v>1009.3470760499999</x:v>
      </x:c>
      <x:c r="E9" s="12" t="n">
        <x:f>'Operating Forecast'!E14</x:f>
        <x:v>1086.5989473501</x:v>
      </x:c>
      <x:c r="F9" s="12" t="n">
        <x:f>'Operating Forecast'!F14</x:f>
        <x:v>1170.6079842184652</x:v>
      </x:c>
      <x:c r="G9" s="12" t="n">
        <x:f>'Operating Forecast'!G14</x:f>
        <x:v>1262.0580943974905</x:v>
      </x:c>
      <x:c r="H9" s="12" t="n">
        <x:f>'Operating Forecast'!H14</x:f>
        <x:v>1361.7121327561676</x:v>
      </x:c>
    </x:row>
    <x:row r="10" ht="21" customHeight="1">
      <x:c r="C10" s="59" t="str">
        <x:v>D&amp;A</x:v>
      </x:c>
      <x:c r="D10" s="12" t="n">
        <x:f>'Operating Forecast'!D18</x:f>
        <x:v>179.76346229125</x:v>
      </x:c>
      <x:c r="E10" s="12" t="n">
        <x:f>'Operating Forecast'!E18</x:f>
        <x:v>190.441238721395</x:v>
      </x:c>
      <x:c r="F10" s="12" t="n">
        <x:f>'Operating Forecast'!F18</x:f>
        <x:v>202.0278640947227</x:v>
      </x:c>
      <x:c r="G10" s="12" t="n">
        <x:f>'Operating Forecast'!G18</x:f>
        <x:v>214.60679865058316</x:v>
      </x:c>
      <x:c r="H10" s="12" t="n">
        <x:f>'Operating Forecast'!H18</x:f>
        <x:v>228.27101339815184</x:v>
      </x:c>
    </x:row>
    <x:row r="11" ht="21" customHeight="1">
      <x:c r="C11" s="61" t="str">
        <x:v>EBITDA</x:v>
      </x:c>
      <x:c r="D11" s="50" t="n">
        <x:f>D6-SUM(D7:D9)</x:f>
        <x:v>1896.7596060000005</x:v>
      </x:c>
      <x:c r="E11" s="50" t="n">
        <x:f>E6-SUM(E7:E9)</x:f>
        <x:v>2041.930907772</x:v>
      </x:c>
      <x:c r="F11" s="50" t="n">
        <x:f>F6-SUM(F7:F9)</x:f>
        <x:v>2199.8002387998004</x:v>
      </x:c>
      <x:c r="G11" s="50" t="n">
        <x:f>G6-SUM(G7:G9)</x:f>
        <x:v>2371.652794840922</x:v>
      </x:c>
      <x:c r="H11" s="50" t="n">
        <x:f>H6-SUM(H7:H9)</x:f>
        <x:v>2558.922128669308</x:v>
      </x:c>
    </x:row>
    <x:row r="12" ht="21" customHeight="1">
      <x:c r="C12" s="61" t="str">
        <x:v>EBIT</x:v>
      </x:c>
      <x:c r="D12" s="50" t="n">
        <x:f>D11-D10</x:f>
        <x:v>1716.9961437087504</x:v>
      </x:c>
      <x:c r="E12" s="50" t="n">
        <x:f>E11-E10</x:f>
        <x:v>1851.489669050605</x:v>
      </x:c>
      <x:c r="F12" s="50" t="n">
        <x:f>F11-F10</x:f>
        <x:v>1997.7723747050777</x:v>
      </x:c>
      <x:c r="G12" s="50" t="n">
        <x:f>G11-G10</x:f>
        <x:v>2157.045996190339</x:v>
      </x:c>
      <x:c r="H12" s="50" t="n">
        <x:f>H11-H10</x:f>
        <x:v>2330.6511152711564</x:v>
      </x:c>
    </x:row>
    <x:row r="13" ht="21" customHeight="1">
      <x:c r="C13" s="59" t="str">
        <x:v>Interest expense</x:v>
      </x:c>
      <x:c r="D13" s="12" t="n">
        <x:f>'Debt Schedule'!D7</x:f>
        <x:v>0</x:v>
      </x:c>
      <x:c r="E13" s="12" t="n">
        <x:f>'Debt Schedule'!E7</x:f>
        <x:v>0</x:v>
      </x:c>
      <x:c r="F13" s="12" t="n">
        <x:f>'Debt Schedule'!F7</x:f>
        <x:v>0</x:v>
      </x:c>
      <x:c r="G13" s="12" t="n">
        <x:f>'Debt Schedule'!G7</x:f>
        <x:v>0</x:v>
      </x:c>
      <x:c r="H13" s="12" t="n">
        <x:f>'Debt Schedule'!H7</x:f>
        <x:v>0</x:v>
      </x:c>
    </x:row>
    <x:row r="14" ht="21" customHeight="1">
      <x:c r="C14" s="59" t="str">
        <x:v>Pretax income</x:v>
      </x:c>
      <x:c r="D14" s="15" t="n">
        <x:f>D12-D13</x:f>
        <x:v>1716.9961437087504</x:v>
      </x:c>
      <x:c r="E14" s="15" t="n">
        <x:f>E12-E13</x:f>
        <x:v>1851.489669050605</x:v>
      </x:c>
      <x:c r="F14" s="15" t="n">
        <x:f>F12-F13</x:f>
        <x:v>1997.7723747050777</x:v>
      </x:c>
      <x:c r="G14" s="15" t="n">
        <x:f>G12-G13</x:f>
        <x:v>2157.045996190339</x:v>
      </x:c>
      <x:c r="H14" s="15" t="n">
        <x:f>H12-H13</x:f>
        <x:v>2330.6511152711564</x:v>
      </x:c>
    </x:row>
    <x:row r="15" ht="21" customHeight="1">
      <x:c r="C15" s="59" t="str">
        <x:v>Cash taxes</x:v>
      </x:c>
      <x:c r="D15" s="12" t="n">
        <x:f>MAX(0,D14)*'Assumptions'!D74</x:f>
        <x:v>360.5691901788376</x:v>
      </x:c>
      <x:c r="E15" s="12" t="n">
        <x:f>MAX(0,E14)*'Assumptions'!E74</x:f>
        <x:v>388.81283050062706</x:v>
      </x:c>
      <x:c r="F15" s="12" t="n">
        <x:f>MAX(0,F14)*'Assumptions'!F74</x:f>
        <x:v>419.53219868806633</x:v>
      </x:c>
      <x:c r="G15" s="12" t="n">
        <x:f>MAX(0,G14)*'Assumptions'!G74</x:f>
        <x:v>452.97965919997114</x:v>
      </x:c>
      <x:c r="H15" s="12" t="n">
        <x:f>MAX(0,H14)*'Assumptions'!H74</x:f>
        <x:v>489.43673420694284</x:v>
      </x:c>
    </x:row>
    <x:row r="16" ht="21" customHeight="1">
      <x:c r="C16" s="61" t="str">
        <x:v>Net income</x:v>
      </x:c>
      <x:c r="D16" s="50" t="n">
        <x:f>D14-D15</x:f>
        <x:v>1356.426953529913</x:v>
      </x:c>
      <x:c r="E16" s="50" t="n">
        <x:f>E14-E15</x:f>
        <x:v>1462.676838549978</x:v>
      </x:c>
      <x:c r="F16" s="50" t="n">
        <x:f>F14-F15</x:f>
        <x:v>1578.2401760170114</x:v>
      </x:c>
      <x:c r="G16" s="50" t="n">
        <x:f>G14-G15</x:f>
        <x:v>1704.0663369903677</x:v>
      </x:c>
      <x:c r="H16" s="50" t="n">
        <x:f>H14-H15</x:f>
        <x:v>1841.2143810642135</x:v>
      </x:c>
    </x:row>
    <x:row r="17" ht="21" customHeight="1">
      <x:c r="C17" s="59"/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/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Balance Sheet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Cash</x:v>
      </x:c>
      <x:c r="D6" s="12" t="n">
        <x:f>'Cash Flow'!D19</x:f>
        <x:v>2714.6228307249507</x:v>
      </x:c>
      <x:c r="E6" s="12" t="n">
        <x:f>'Cash Flow'!E19</x:f>
        <x:v>3347.058438273047</x:v>
      </x:c>
      <x:c r="F6" s="12" t="n">
        <x:f>'Cash Flow'!F19</x:f>
        <x:v>4024.908140809898</x:v>
      </x:c>
      <x:c r="G6" s="12" t="n">
        <x:f>'Cash Flow'!G19</x:f>
        <x:v>4751.977226780002</x:v>
      </x:c>
      <x:c r="H6" s="12" t="n">
        <x:f>'Cash Flow'!H19</x:f>
        <x:v>5532.435868784599</x:v>
      </x:c>
    </x:row>
    <x:row r="7" ht="21" customHeight="1">
      <x:c r="C7" s="59" t="str">
        <x:v>Accounts receivable</x:v>
      </x:c>
      <x:c r="D7" s="12" t="n">
        <x:f>'Working Capital'!D6</x:f>
        <x:v>1057.8796236986302</x:v>
      </x:c>
      <x:c r="E7" s="12" t="n">
        <x:f>'Working Capital'!E6</x:f>
        <x:v>1138.8460053131507</x:v>
      </x:c>
      <x:c r="F7" s="12" t="n">
        <x:f>'Working Capital'!F6</x:f>
        <x:v>1226.8944580390275</x:v>
      </x:c>
      <x:c r="G7" s="12" t="n">
        <x:f>'Working Capital'!G6</x:f>
        <x:v>1322.741774030651</x:v>
      </x:c>
      <x:c r="H7" s="12" t="n">
        <x:f>'Working Capital'!H6</x:f>
        <x:v>1427.1874885924715</x:v>
      </x:c>
    </x:row>
    <x:row r="8" ht="21" customHeight="1">
      <x:c r="C8" s="59" t="str">
        <x:v>Inventory</x:v>
      </x:c>
      <x:c r="D8" s="12" t="n">
        <x:f>'Working Capital'!D7</x:f>
        <x:v>1532.997489780822</x:v>
      </x:c>
      <x:c r="E8" s="12" t="n">
        <x:f>'Working Capital'!E7</x:f>
        <x:v>1650.3277199801094</x:v>
      </x:c>
      <x:c r="F8" s="12" t="n">
        <x:f>'Working Capital'!F7</x:f>
        <x:v>1777.9207409477838</x:v>
      </x:c>
      <x:c r="G8" s="12" t="n">
        <x:f>'Working Capital'!G7</x:f>
        <x:v>1916.815272542663</x:v>
      </x:c>
      <x:c r="H8" s="12" t="n">
        <x:f>'Working Capital'!H7</x:f>
        <x:v>2068.1699396094414</x:v>
      </x:c>
    </x:row>
    <x:row r="9" ht="21" customHeight="1">
      <x:c r="C9" s="59" t="str">
        <x:v>Other current assets</x:v>
      </x:c>
      <x:c r="D9" s="12" t="n">
        <x:f>'Working Capital'!D8</x:f>
        <x:v>379.3519212</x:v>
      </x:c>
      <x:c r="E9" s="12" t="n">
        <x:f>'Working Capital'!E8</x:f>
        <x:v>408.3861815544</x:v>
      </x:c>
      <x:c r="F9" s="12" t="n">
        <x:f>'Working Capital'!F8</x:f>
        <x:v>439.96004775996005</x:v>
      </x:c>
      <x:c r="G9" s="12" t="n">
        <x:f>'Working Capital'!G8</x:f>
        <x:v>474.3305589681844</x:v>
      </x:c>
      <x:c r="H9" s="12" t="n">
        <x:f>'Working Capital'!H8</x:f>
        <x:v>511.7844257338617</x:v>
      </x:c>
    </x:row>
    <x:row r="10" ht="21" customHeight="1">
      <x:c r="C10" s="59" t="str">
        <x:v>Net PP&amp;E</x:v>
      </x:c>
      <x:c r="D10" s="12" t="n">
        <x:f>'Historicals'!H20+'Operating Forecast'!D15-'Operating Forecast'!D16</x:f>
        <x:v>1324.88148845875</x:v>
      </x:c>
      <x:c r="E10" s="12" t="n">
        <x:f>'Balance Sheet'!D10+'Operating Forecast'!E15-'Operating Forecast'!E16</x:f>
        <x:v>1420.3476132088551</x:v>
      </x:c>
      <x:c r="F10" s="12" t="n">
        <x:f>'Balance Sheet'!E10+'Operating Forecast'!F15-'Operating Forecast'!F16</x:f>
        <x:v>1523.9607789641075</x:v>
      </x:c>
      <x:c r="G10" s="12" t="n">
        <x:f>'Balance Sheet'!F10+'Operating Forecast'!G15-'Operating Forecast'!G16</x:f>
        <x:v>1636.4765796686395</x:v>
      </x:c>
      <x:c r="H10" s="12" t="n">
        <x:f>'Balance Sheet'!G10+'Operating Forecast'!H15-'Operating Forecast'!H16</x:f>
        <x:v>1758.7368323541511</x:v>
      </x:c>
    </x:row>
    <x:row r="11" ht="21" customHeight="1">
      <x:c r="C11" s="59" t="str">
        <x:v>Intangibles</x:v>
      </x:c>
      <x:c r="D11" s="12" t="n">
        <x:f>'Historicals'!H21-'Operating Forecast'!D17</x:f>
        <x:v>123.49700000000001</x:v>
      </x:c>
      <x:c r="E11" s="12" t="n">
        <x:f>'Balance Sheet'!D11-'Operating Forecast'!E17</x:f>
        <x:v>92.83100000000002</x:v>
      </x:c>
      <x:c r="F11" s="12" t="n">
        <x:f>'Balance Sheet'!E11-'Operating Forecast'!F17</x:f>
        <x:v>62.16500000000002</x:v>
      </x:c>
      <x:c r="G11" s="12" t="n">
        <x:f>'Balance Sheet'!F11-'Operating Forecast'!G17</x:f>
        <x:v>31.49900000000002</x:v>
      </x:c>
      <x:c r="H11" s="12" t="n">
        <x:f>'Balance Sheet'!G11-'Operating Forecast'!H17</x:f>
        <x:v>0.8330000000000197</x:v>
      </x:c>
    </x:row>
    <x:row r="12" ht="21" customHeight="1">
      <x:c r="C12" s="59" t="str">
        <x:v>Goodwill</x:v>
      </x:c>
      <x:c r="D12" s="12" t="n">
        <x:f>'Historicals'!H22</x:f>
        <x:v>603.947</x:v>
      </x:c>
      <x:c r="E12" s="12" t="n">
        <x:f>'Historicals'!H22</x:f>
        <x:v>603.947</x:v>
      </x:c>
      <x:c r="F12" s="12" t="n">
        <x:f>'Historicals'!H22</x:f>
        <x:v>603.947</x:v>
      </x:c>
      <x:c r="G12" s="12" t="n">
        <x:f>'Historicals'!H22</x:f>
        <x:v>603.947</x:v>
      </x:c>
      <x:c r="H12" s="12" t="n">
        <x:f>'Historicals'!H22</x:f>
        <x:v>603.947</x:v>
      </x:c>
    </x:row>
    <x:row r="13" ht="21" customHeight="1">
      <x:c r="C13" s="59" t="str">
        <x:v>Marketable securities</x:v>
      </x:c>
      <x:c r="D13" s="12" t="n">
        <x:f>'Historicals'!H28</x:f>
        <x:v>1619.601</x:v>
      </x:c>
      <x:c r="E13" s="12" t="n">
        <x:f>'Historicals'!H28</x:f>
        <x:v>1619.601</x:v>
      </x:c>
      <x:c r="F13" s="12" t="n">
        <x:f>'Historicals'!H28</x:f>
        <x:v>1619.601</x:v>
      </x:c>
      <x:c r="G13" s="12" t="n">
        <x:f>'Historicals'!H28</x:f>
        <x:v>1619.601</x:v>
      </x:c>
      <x:c r="H13" s="12" t="n">
        <x:f>'Historicals'!H28</x:f>
        <x:v>1619.601</x:v>
      </x:c>
    </x:row>
    <x:row r="14" ht="21" customHeight="1">
      <x:c r="C14" s="59" t="str">
        <x:v>Other assets</x:v>
      </x:c>
      <x:c r="D14" s="12" t="n">
        <x:f>'Historicals'!H48</x:f>
        <x:v>1125.089</x:v>
      </x:c>
      <x:c r="E14" s="12" t="n">
        <x:f>'Historicals'!H48</x:f>
        <x:v>1125.089</x:v>
      </x:c>
      <x:c r="F14" s="12" t="n">
        <x:f>'Historicals'!H48</x:f>
        <x:v>1125.089</x:v>
      </x:c>
      <x:c r="G14" s="12" t="n">
        <x:f>'Historicals'!H48</x:f>
        <x:v>1125.089</x:v>
      </x:c>
      <x:c r="H14" s="12" t="n">
        <x:f>'Historicals'!H48</x:f>
        <x:v>1125.089</x:v>
      </x:c>
    </x:row>
    <x:row r="15" ht="21" customHeight="1">
      <x:c r="C15" s="61" t="str">
        <x:v>Total assets</x:v>
      </x:c>
      <x:c r="D15" s="50" t="n">
        <x:f>SUM(D6:D14)</x:f>
        <x:v>10481.867353863154</x:v>
      </x:c>
      <x:c r="E15" s="50" t="n">
        <x:f>SUM(E6:E14)</x:f>
        <x:v>11406.433958329562</x:v>
      </x:c>
      <x:c r="F15" s="50" t="n">
        <x:f>SUM(F6:F14)</x:f>
        <x:v>12404.446166520778</x:v>
      </x:c>
      <x:c r="G15" s="50" t="n">
        <x:f>SUM(G6:G14)</x:f>
        <x:v>13482.47741199014</x:v>
      </x:c>
      <x:c r="H15" s="50" t="n">
        <x:f>SUM(H6:H14)</x:f>
        <x:v>14647.784555074526</x:v>
      </x:c>
    </x:row>
    <x:row r="16" ht="21" customHeight="1">
      <x:c r="C16" s="59" t="str">
        <x:v>Accounts payable</x:v>
      </x:c>
      <x:c r="D16" s="12" t="n">
        <x:f>'Working Capital'!D9</x:f>
        <x:v>383.2493724452055</x:v>
      </x:c>
      <x:c r="E16" s="12" t="n">
        <x:f>'Working Capital'!E9</x:f>
        <x:v>412.58192999502734</x:v>
      </x:c>
      <x:c r="F16" s="12" t="n">
        <x:f>'Working Capital'!F9</x:f>
        <x:v>444.48018523694594</x:v>
      </x:c>
      <x:c r="G16" s="12" t="n">
        <x:f>'Working Capital'!G9</x:f>
        <x:v>479.20381813566576</x:v>
      </x:c>
      <x:c r="H16" s="12" t="n">
        <x:f>'Working Capital'!H9</x:f>
        <x:v>517.0424849023603</x:v>
      </x:c>
    </x:row>
    <x:row r="17" ht="21" customHeight="1">
      <x:c r="C17" s="59" t="str">
        <x:v>Accrued liabilities</x:v>
      </x:c>
      <x:c r="D17" s="12" t="n">
        <x:f>'Working Capital'!D10</x:f>
        <x:v>230.3208093</x:v>
      </x:c>
      <x:c r="E17" s="12" t="n">
        <x:f>'Working Capital'!E10</x:f>
        <x:v>247.94875308660002</x:v>
      </x:c>
      <x:c r="F17" s="12" t="n">
        <x:f>'Working Capital'!F10</x:f>
        <x:v>267.11860042569003</x:v>
      </x:c>
      <x:c r="G17" s="12" t="n">
        <x:f>'Working Capital'!G10</x:f>
        <x:v>287.98641080211195</x:v>
      </x:c>
      <x:c r="H17" s="12" t="n">
        <x:f>'Working Capital'!H10</x:f>
        <x:v>310.7262584812732</x:v>
      </x:c>
    </x:row>
    <x:row r="18" ht="21" customHeight="1">
      <x:c r="C18" s="59" t="str">
        <x:v>Other current liabilities</x:v>
      </x:c>
      <x:c r="D18" s="12" t="n">
        <x:f>'Historicals'!H49</x:f>
        <x:v>931.7719999999999</x:v>
      </x:c>
      <x:c r="E18" s="12" t="n">
        <x:f>'Historicals'!H49</x:f>
        <x:v>931.7719999999999</x:v>
      </x:c>
      <x:c r="F18" s="12" t="n">
        <x:f>'Historicals'!H49</x:f>
        <x:v>931.7719999999999</x:v>
      </x:c>
      <x:c r="G18" s="12" t="n">
        <x:f>'Historicals'!H49</x:f>
        <x:v>931.7719999999999</x:v>
      </x:c>
      <x:c r="H18" s="12" t="n">
        <x:f>'Historicals'!H49</x:f>
        <x:v>931.7719999999999</x:v>
      </x:c>
    </x:row>
    <x:row r="19" ht="21" customHeight="1">
      <x:c r="C19" s="59" t="str">
        <x:v>Total current liabilities</x:v>
      </x:c>
      <x:c r="D19" s="15" t="n">
        <x:f>SUM(D16:D18)</x:f>
        <x:v>1545.3421817452054</x:v>
      </x:c>
      <x:c r="E19" s="15" t="n">
        <x:f>SUM(E16:E18)</x:f>
        <x:v>1592.3026830816273</x:v>
      </x:c>
      <x:c r="F19" s="15" t="n">
        <x:f>SUM(F16:F18)</x:f>
        <x:v>1643.3707856626359</x:v>
      </x:c>
      <x:c r="G19" s="15" t="n">
        <x:f>SUM(G16:G18)</x:f>
        <x:v>1698.9622289377776</x:v>
      </x:c>
      <x:c r="H19" s="15" t="n">
        <x:f>SUM(H16:H18)</x:f>
        <x:v>1759.5407433836335</x:v>
      </x:c>
    </x:row>
    <x:row r="20" ht="21" customHeight="1">
      <x:c r="C20" s="59" t="str">
        <x:v>Other liabilities</x:v>
      </x:c>
      <x:c r="D20" s="12" t="n">
        <x:f>'Historicals'!H50</x:f>
        <x:v>274.27099999999996</x:v>
      </x:c>
      <x:c r="E20" s="12" t="n">
        <x:f>'Historicals'!H50</x:f>
        <x:v>274.27099999999996</x:v>
      </x:c>
      <x:c r="F20" s="12" t="n">
        <x:f>'Historicals'!H50</x:f>
        <x:v>274.27099999999996</x:v>
      </x:c>
      <x:c r="G20" s="12" t="n">
        <x:f>'Historicals'!H50</x:f>
        <x:v>274.27099999999996</x:v>
      </x:c>
      <x:c r="H20" s="12" t="n">
        <x:f>'Historicals'!H50</x:f>
        <x:v>274.27099999999996</x:v>
      </x:c>
    </x:row>
    <x:row r="21" ht="21" customHeight="1">
      <x:c r="C21" s="59" t="str">
        <x:v>Financial debt</x:v>
      </x:c>
      <x:c r="D21" s="12" t="n">
        <x:f>'Debt Schedule'!D12</x:f>
        <x:v>0</x:v>
      </x:c>
      <x:c r="E21" s="12" t="n">
        <x:f>'Debt Schedule'!E12</x:f>
        <x:v>0</x:v>
      </x:c>
      <x:c r="F21" s="12" t="n">
        <x:f>'Debt Schedule'!F12</x:f>
        <x:v>0</x:v>
      </x:c>
      <x:c r="G21" s="12" t="n">
        <x:f>'Debt Schedule'!G12</x:f>
        <x:v>0</x:v>
      </x:c>
      <x:c r="H21" s="12" t="n">
        <x:f>'Debt Schedule'!H12</x:f>
        <x:v>0</x:v>
      </x:c>
    </x:row>
    <x:row r="22" ht="21" customHeight="1">
      <x:c r="C22" s="59" t="str">
        <x:v>Equity</x:v>
      </x:c>
      <x:c r="D22" s="12" t="n">
        <x:f>'Historicals'!H27+'Income Statement'!D16-'Cash Flow'!D11</x:f>
        <x:v>8662.254172117948</x:v>
      </x:c>
      <x:c r="E22" s="12" t="n">
        <x:f>'Balance Sheet'!D22+'Income Statement'!E16-'Cash Flow'!E11</x:f>
        <x:v>9539.860275247935</x:v>
      </x:c>
      <x:c r="F22" s="12" t="n">
        <x:f>'Balance Sheet'!E22+'Income Statement'!F16-'Cash Flow'!F11</x:f>
        <x:v>10486.80438085814</x:v>
      </x:c>
      <x:c r="G22" s="12" t="n">
        <x:f>'Balance Sheet'!F22+'Income Statement'!G16-'Cash Flow'!G11</x:f>
        <x:v>11509.244183052362</x:v>
      </x:c>
      <x:c r="H22" s="12" t="n">
        <x:f>'Balance Sheet'!G22+'Income Statement'!H16-'Cash Flow'!H11</x:f>
        <x:v>12613.97281169089</x:v>
      </x:c>
    </x:row>
    <x:row r="23" ht="21" customHeight="1">
      <x:c r="C23" s="61" t="str">
        <x:v>Liabilities and equity</x:v>
      </x:c>
      <x:c r="D23" s="50" t="n">
        <x:f>SUM(D19:D22)</x:f>
        <x:v>10481.867353863154</x:v>
      </x:c>
      <x:c r="E23" s="50" t="n">
        <x:f>SUM(E19:E22)</x:f>
        <x:v>11406.433958329562</x:v>
      </x:c>
      <x:c r="F23" s="50" t="n">
        <x:f>SUM(F19:F22)</x:f>
        <x:v>12404.446166520776</x:v>
      </x:c>
      <x:c r="G23" s="50" t="n">
        <x:f>SUM(G19:G22)</x:f>
        <x:v>13482.47741199014</x:v>
      </x:c>
      <x:c r="H23" s="50" t="n">
        <x:f>SUM(H19:H22)</x:f>
        <x:v>14647.784555074524</x:v>
      </x:c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Cash Flow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Net income</x:v>
      </x:c>
      <x:c r="D6" s="12" t="n">
        <x:f>'Income Statement'!D16</x:f>
        <x:v>1356.426953529913</x:v>
      </x:c>
      <x:c r="E6" s="12" t="n">
        <x:f>'Income Statement'!E16</x:f>
        <x:v>1462.676838549978</x:v>
      </x:c>
      <x:c r="F6" s="12" t="n">
        <x:f>'Income Statement'!F16</x:f>
        <x:v>1578.2401760170114</x:v>
      </x:c>
      <x:c r="G6" s="12" t="n">
        <x:f>'Income Statement'!G16</x:f>
        <x:v>1704.0663369903677</x:v>
      </x:c>
      <x:c r="H6" s="12" t="n">
        <x:f>'Income Statement'!H16</x:f>
        <x:v>1841.2143810642135</x:v>
      </x:c>
    </x:row>
    <x:row r="7" ht="21" customHeight="1">
      <x:c r="C7" s="59" t="str">
        <x:v>D&amp;A</x:v>
      </x:c>
      <x:c r="D7" s="12" t="n">
        <x:f>'Operating Forecast'!D18</x:f>
        <x:v>179.76346229125</x:v>
      </x:c>
      <x:c r="E7" s="12" t="n">
        <x:f>'Operating Forecast'!E18</x:f>
        <x:v>190.441238721395</x:v>
      </x:c>
      <x:c r="F7" s="12" t="n">
        <x:f>'Operating Forecast'!F18</x:f>
        <x:v>202.0278640947227</x:v>
      </x:c>
      <x:c r="G7" s="12" t="n">
        <x:f>'Operating Forecast'!G18</x:f>
        <x:v>214.60679865058316</x:v>
      </x:c>
      <x:c r="H7" s="12" t="n">
        <x:f>'Operating Forecast'!H18</x:f>
        <x:v>228.27101339815184</x:v>
      </x:c>
    </x:row>
    <x:row r="8" ht="21" customHeight="1">
      <x:c r="C8" s="59" t="str">
        <x:v>Change in NWC</x:v>
      </x:c>
      <x:c r="D8" s="12" t="n">
        <x:f>'Working Capital'!D12</x:f>
        <x:v>121.36985293424686</x:v>
      </x:c>
      <x:c r="E8" s="12" t="n">
        <x:f>'Working Capital'!E12</x:f>
        <x:v>180.3703708317853</x:v>
      </x:c>
      <x:c r="F8" s="12" t="n">
        <x:f>'Working Capital'!F12</x:f>
        <x:v>196.14723731810318</x:v>
      </x:c>
      <x:c r="G8" s="12" t="n">
        <x:f>'Working Capital'!G12</x:f>
        <x:v>213.5209155195853</x:v>
      </x:c>
      <x:c r="H8" s="12" t="n">
        <x:f>'Working Capital'!H12</x:f>
        <x:v>232.67573394841975</x:v>
      </x:c>
    </x:row>
    <x:row r="9" ht="21" customHeight="1">
      <x:c r="C9" s="61" t="str">
        <x:v>Operating cash flow</x:v>
      </x:c>
      <x:c r="D9" s="50" t="n">
        <x:f>D6+D7-D8</x:f>
        <x:v>1414.820562886916</x:v>
      </x:c>
      <x:c r="E9" s="50" t="n">
        <x:f>E6+E7-E8</x:f>
        <x:v>1472.7477064395875</x:v>
      </x:c>
      <x:c r="F9" s="50" t="n">
        <x:f>F6+F7-F8</x:f>
        <x:v>1584.120802793631</x:v>
      </x:c>
      <x:c r="G9" s="50" t="n">
        <x:f>G6+G7-G8</x:f>
        <x:v>1705.1522201213656</x:v>
      </x:c>
      <x:c r="H9" s="50" t="n">
        <x:f>H6+H7-H8</x:f>
        <x:v>1836.8096605139458</x:v>
      </x:c>
    </x:row>
    <x:row r="10" ht="21" customHeight="1">
      <x:c r="C10" s="59" t="str">
        <x:v>CapEx</x:v>
      </x:c>
      <x:c r="D10" s="12" t="n">
        <x:f>'Operating Forecast'!D15</x:f>
        <x:v>237.09495075000004</x:v>
      </x:c>
      <x:c r="E10" s="12" t="n">
        <x:f>'Operating Forecast'!E15</x:f>
        <x:v>255.24136347150002</x:v>
      </x:c>
      <x:c r="F10" s="12" t="n">
        <x:f>'Operating Forecast'!F15</x:f>
        <x:v>274.97502984997504</x:v>
      </x:c>
      <x:c r="G10" s="12" t="n">
        <x:f>'Operating Forecast'!G15</x:f>
        <x:v>296.45659935511526</x:v>
      </x:c>
      <x:c r="H10" s="12" t="n">
        <x:f>'Operating Forecast'!H15</x:f>
        <x:v>319.8652660836636</x:v>
      </x:c>
    </x:row>
    <x:row r="11" ht="21" customHeight="1">
      <x:c r="C11" s="59" t="str">
        <x:v>Dividends</x:v>
      </x:c>
      <x:c r="D11" s="12" t="n">
        <x:f>MAX(0,D6)*'Assumptions'!D84</x:f>
        <x:v>542.5707814119652</x:v>
      </x:c>
      <x:c r="E11" s="12" t="n">
        <x:f>MAX(0,E6)*'Assumptions'!E84</x:f>
        <x:v>585.0707354199911</x:v>
      </x:c>
      <x:c r="F11" s="12" t="n">
        <x:f>MAX(0,F6)*'Assumptions'!F84</x:f>
        <x:v>631.2960704068046</x:v>
      </x:c>
      <x:c r="G11" s="12" t="n">
        <x:f>MAX(0,G6)*'Assumptions'!G84</x:f>
        <x:v>681.6265347961471</x:v>
      </x:c>
      <x:c r="H11" s="12" t="n">
        <x:f>MAX(0,H6)*'Assumptions'!H84</x:f>
        <x:v>736.4857524256854</x:v>
      </x:c>
    </x:row>
    <x:row r="12" ht="21" customHeight="1">
      <x:c r="C12" s="59" t="str">
        <x:v>New borrowing</x:v>
      </x:c>
      <x:c r="D12" s="12" t="n">
        <x:f>'Debt Schedule'!D10</x:f>
        <x:v>0</x:v>
      </x:c>
      <x:c r="E12" s="12" t="n">
        <x:f>'Debt Schedule'!E10</x:f>
        <x:v>0</x:v>
      </x:c>
      <x:c r="F12" s="12" t="n">
        <x:f>'Debt Schedule'!F10</x:f>
        <x:v>0</x:v>
      </x:c>
      <x:c r="G12" s="12" t="n">
        <x:f>'Debt Schedule'!G10</x:f>
        <x:v>0</x:v>
      </x:c>
      <x:c r="H12" s="12" t="n">
        <x:f>'Debt Schedule'!H10</x:f>
        <x:v>0</x:v>
      </x:c>
    </x:row>
    <x:row r="13" ht="21" customHeight="1">
      <x:c r="C13" s="59" t="str">
        <x:v>Mandatory repayment</x:v>
      </x:c>
      <x:c r="D13" s="12" t="n">
        <x:f>'Debt Schedule'!D8</x:f>
        <x:v>0</x:v>
      </x:c>
      <x:c r="E13" s="12" t="n">
        <x:f>'Debt Schedule'!E8</x:f>
        <x:v>0</x:v>
      </x:c>
      <x:c r="F13" s="12" t="n">
        <x:f>'Debt Schedule'!F8</x:f>
        <x:v>0</x:v>
      </x:c>
      <x:c r="G13" s="12" t="n">
        <x:f>'Debt Schedule'!G8</x:f>
        <x:v>0</x:v>
      </x:c>
      <x:c r="H13" s="12" t="n">
        <x:f>'Debt Schedule'!H8</x:f>
        <x:v>0</x:v>
      </x:c>
    </x:row>
    <x:row r="14" ht="21" customHeight="1">
      <x:c r="C14" s="59" t="str">
        <x:v>Optional repayment</x:v>
      </x:c>
      <x:c r="D14" s="12" t="n">
        <x:f>'Debt Schedule'!D11</x:f>
        <x:v>0</x:v>
      </x:c>
      <x:c r="E14" s="12" t="n">
        <x:f>'Debt Schedule'!E11</x:f>
        <x:v>0</x:v>
      </x:c>
      <x:c r="F14" s="12" t="n">
        <x:f>'Debt Schedule'!F11</x:f>
        <x:v>0</x:v>
      </x:c>
      <x:c r="G14" s="12" t="n">
        <x:f>'Debt Schedule'!G11</x:f>
        <x:v>0</x:v>
      </x:c>
      <x:c r="H14" s="12" t="n">
        <x:f>'Debt Schedule'!H11</x:f>
        <x:v>0</x:v>
      </x:c>
    </x:row>
    <x:row r="15" ht="21" customHeight="1">
      <x:c r="C15" s="59" t="str">
        <x:v>Investing cash flow</x:v>
      </x:c>
      <x:c r="D15" s="15" t="n">
        <x:f>-D10</x:f>
        <x:v>-237.09495075000004</x:v>
      </x:c>
      <x:c r="E15" s="15" t="n">
        <x:f>-E10</x:f>
        <x:v>-255.24136347150002</x:v>
      </x:c>
      <x:c r="F15" s="15" t="n">
        <x:f>-F10</x:f>
        <x:v>-274.97502984997504</x:v>
      </x:c>
      <x:c r="G15" s="15" t="n">
        <x:f>-G10</x:f>
        <x:v>-296.45659935511526</x:v>
      </x:c>
      <x:c r="H15" s="15" t="n">
        <x:f>-H10</x:f>
        <x:v>-319.8652660836636</x:v>
      </x:c>
    </x:row>
    <x:row r="16" ht="21" customHeight="1">
      <x:c r="C16" s="59" t="str">
        <x:v>Financing cash flow</x:v>
      </x:c>
      <x:c r="D16" s="15" t="n">
        <x:f>D12-D13-D14-D11</x:f>
        <x:v>-542.5707814119652</x:v>
      </x:c>
      <x:c r="E16" s="15" t="n">
        <x:f>E12-E13-E14-E11</x:f>
        <x:v>-585.0707354199911</x:v>
      </x:c>
      <x:c r="F16" s="15" t="n">
        <x:f>F12-F13-F14-F11</x:f>
        <x:v>-631.2960704068046</x:v>
      </x:c>
      <x:c r="G16" s="15" t="n">
        <x:f>G12-G13-G14-G11</x:f>
        <x:v>-681.6265347961471</x:v>
      </x:c>
      <x:c r="H16" s="15" t="n">
        <x:f>H12-H13-H14-H11</x:f>
        <x:v>-736.4857524256854</x:v>
      </x:c>
    </x:row>
    <x:row r="17" ht="21" customHeight="1">
      <x:c r="C17" s="61" t="str">
        <x:v>Cash movement</x:v>
      </x:c>
      <x:c r="D17" s="50" t="n">
        <x:f>D9+D15+D16</x:f>
        <x:v>635.1548307249508</x:v>
      </x:c>
      <x:c r="E17" s="50" t="n">
        <x:f>E9+E15+E16</x:f>
        <x:v>632.4356075480963</x:v>
      </x:c>
      <x:c r="F17" s="50" t="n">
        <x:f>F9+F15+F16</x:f>
        <x:v>677.8497025368513</x:v>
      </x:c>
      <x:c r="G17" s="50" t="n">
        <x:f>G9+G15+G16</x:f>
        <x:v>727.0690859701033</x:v>
      </x:c>
      <x:c r="H17" s="50" t="n">
        <x:f>H9+H15+H16</x:f>
        <x:v>780.4586420045969</x:v>
      </x:c>
    </x:row>
    <x:row r="18" ht="21" customHeight="1">
      <x:c r="C18" s="59" t="str">
        <x:v>Opening cash</x:v>
      </x:c>
      <x:c r="D18" s="12" t="n">
        <x:f>'Historicals'!H16</x:f>
        <x:v>2079.468</x:v>
      </x:c>
      <x:c r="E18" s="12" t="n">
        <x:f>'Balance Sheet'!D6</x:f>
        <x:v>2714.6228307249507</x:v>
      </x:c>
      <x:c r="F18" s="12" t="n">
        <x:f>'Balance Sheet'!E6</x:f>
        <x:v>3347.058438273047</x:v>
      </x:c>
      <x:c r="G18" s="12" t="n">
        <x:f>'Balance Sheet'!F6</x:f>
        <x:v>4024.908140809898</x:v>
      </x:c>
      <x:c r="H18" s="12" t="n">
        <x:f>'Balance Sheet'!G6</x:f>
        <x:v>4751.977226780002</x:v>
      </x:c>
    </x:row>
    <x:row r="19" ht="21" customHeight="1">
      <x:c r="C19" s="61" t="str">
        <x:v>Closing cash</x:v>
      </x:c>
      <x:c r="D19" s="50" t="n">
        <x:f>D18+D17</x:f>
        <x:v>2714.6228307249507</x:v>
      </x:c>
      <x:c r="E19" s="50" t="n">
        <x:f>E18+E17</x:f>
        <x:v>3347.058438273047</x:v>
      </x:c>
      <x:c r="F19" s="50" t="n">
        <x:f>F18+F17</x:f>
        <x:v>4024.908140809898</x:v>
      </x:c>
      <x:c r="G19" s="50" t="n">
        <x:f>G18+G17</x:f>
        <x:v>4751.977226780002</x:v>
      </x:c>
      <x:c r="H19" s="50" t="n">
        <x:f>H18+H17</x:f>
        <x:v>5532.435868784599</x:v>
      </x:c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Working Capital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Accounts receivable</x:v>
      </x:c>
      <x:c r="D6" s="12" t="n">
        <x:f>'Operating Forecast'!D11/365*'Assumptions'!D49</x:f>
        <x:v>1057.8796236986302</x:v>
      </x:c>
      <x:c r="E6" s="12" t="n">
        <x:f>'Operating Forecast'!E11/365*'Assumptions'!E49</x:f>
        <x:v>1138.8460053131507</x:v>
      </x:c>
      <x:c r="F6" s="12" t="n">
        <x:f>'Operating Forecast'!F11/365*'Assumptions'!F49</x:f>
        <x:v>1226.8944580390275</x:v>
      </x:c>
      <x:c r="G6" s="12" t="n">
        <x:f>'Operating Forecast'!G11/365*'Assumptions'!G49</x:f>
        <x:v>1322.741774030651</x:v>
      </x:c>
      <x:c r="H6" s="12" t="n">
        <x:f>'Operating Forecast'!H11/365*'Assumptions'!H49</x:f>
        <x:v>1427.1874885924715</x:v>
      </x:c>
    </x:row>
    <x:row r="7" ht="21" customHeight="1">
      <x:c r="C7" s="59" t="str">
        <x:v>Inventory</x:v>
      </x:c>
      <x:c r="D7" s="12" t="n">
        <x:f>'Operating Forecast'!D12/365*'Assumptions'!D54</x:f>
        <x:v>1532.997489780822</x:v>
      </x:c>
      <x:c r="E7" s="12" t="n">
        <x:f>'Operating Forecast'!E12/365*'Assumptions'!E54</x:f>
        <x:v>1650.3277199801094</x:v>
      </x:c>
      <x:c r="F7" s="12" t="n">
        <x:f>'Operating Forecast'!F12/365*'Assumptions'!F54</x:f>
        <x:v>1777.9207409477838</x:v>
      </x:c>
      <x:c r="G7" s="12" t="n">
        <x:f>'Operating Forecast'!G12/365*'Assumptions'!G54</x:f>
        <x:v>1916.815272542663</x:v>
      </x:c>
      <x:c r="H7" s="12" t="n">
        <x:f>'Operating Forecast'!H12/365*'Assumptions'!H54</x:f>
        <x:v>2068.1699396094414</x:v>
      </x:c>
    </x:row>
    <x:row r="8" ht="21" customHeight="1">
      <x:c r="C8" s="59" t="str">
        <x:v>Other operating current assets</x:v>
      </x:c>
      <x:c r="D8" s="12" t="n">
        <x:f>'Operating Forecast'!D11*'Assumptions'!D64</x:f>
        <x:v>379.3519212</x:v>
      </x:c>
      <x:c r="E8" s="12" t="n">
        <x:f>'Operating Forecast'!E11*'Assumptions'!E64</x:f>
        <x:v>408.3861815544</x:v>
      </x:c>
      <x:c r="F8" s="12" t="n">
        <x:f>'Operating Forecast'!F11*'Assumptions'!F64</x:f>
        <x:v>439.96004775996005</x:v>
      </x:c>
      <x:c r="G8" s="12" t="n">
        <x:f>'Operating Forecast'!G11*'Assumptions'!G64</x:f>
        <x:v>474.3305589681844</x:v>
      </x:c>
      <x:c r="H8" s="12" t="n">
        <x:f>'Operating Forecast'!H11*'Assumptions'!H64</x:f>
        <x:v>511.7844257338617</x:v>
      </x:c>
    </x:row>
    <x:row r="9" ht="21" customHeight="1">
      <x:c r="C9" s="59" t="str">
        <x:v>Accounts payable</x:v>
      </x:c>
      <x:c r="D9" s="12" t="n">
        <x:f>'Operating Forecast'!D12/365*'Assumptions'!D59</x:f>
        <x:v>383.2493724452055</x:v>
      </x:c>
      <x:c r="E9" s="12" t="n">
        <x:f>'Operating Forecast'!E12/365*'Assumptions'!E59</x:f>
        <x:v>412.58192999502734</x:v>
      </x:c>
      <x:c r="F9" s="12" t="n">
        <x:f>'Operating Forecast'!F12/365*'Assumptions'!F59</x:f>
        <x:v>444.48018523694594</x:v>
      </x:c>
      <x:c r="G9" s="12" t="n">
        <x:f>'Operating Forecast'!G12/365*'Assumptions'!G59</x:f>
        <x:v>479.20381813566576</x:v>
      </x:c>
      <x:c r="H9" s="12" t="n">
        <x:f>'Operating Forecast'!H12/365*'Assumptions'!H59</x:f>
        <x:v>517.0424849023603</x:v>
      </x:c>
    </x:row>
    <x:row r="10" ht="21" customHeight="1">
      <x:c r="C10" s="59" t="str">
        <x:v>Accrued operating liabilities</x:v>
      </x:c>
      <x:c r="D10" s="12" t="n">
        <x:f>'Operating Forecast'!D11*'Assumptions'!D69</x:f>
        <x:v>230.3208093</x:v>
      </x:c>
      <x:c r="E10" s="12" t="n">
        <x:f>'Operating Forecast'!E11*'Assumptions'!E69</x:f>
        <x:v>247.94875308660002</x:v>
      </x:c>
      <x:c r="F10" s="12" t="n">
        <x:f>'Operating Forecast'!F11*'Assumptions'!F69</x:f>
        <x:v>267.11860042569003</x:v>
      </x:c>
      <x:c r="G10" s="12" t="n">
        <x:f>'Operating Forecast'!G11*'Assumptions'!G69</x:f>
        <x:v>287.98641080211195</x:v>
      </x:c>
      <x:c r="H10" s="12" t="n">
        <x:f>'Operating Forecast'!H11*'Assumptions'!H69</x:f>
        <x:v>310.7262584812732</x:v>
      </x:c>
    </x:row>
    <x:row r="11" ht="21" customHeight="1">
      <x:c r="C11" s="61" t="str">
        <x:v>Net working capital</x:v>
      </x:c>
      <x:c r="D11" s="50" t="n">
        <x:f>SUM(D6:D8)-SUM(D9:D10)</x:f>
        <x:v>2356.658852934247</x:v>
      </x:c>
      <x:c r="E11" s="50" t="n">
        <x:f>SUM(E6:E8)-SUM(E9:E10)</x:f>
        <x:v>2537.0292237660324</x:v>
      </x:c>
      <x:c r="F11" s="50" t="n">
        <x:f>SUM(F6:F8)-SUM(F9:F10)</x:f>
        <x:v>2733.1764610841356</x:v>
      </x:c>
      <x:c r="G11" s="50" t="n">
        <x:f>SUM(G6:G8)-SUM(G9:G10)</x:f>
        <x:v>2946.697376603721</x:v>
      </x:c>
      <x:c r="H11" s="50" t="n">
        <x:f>SUM(H6:H8)-SUM(H9:H10)</x:f>
        <x:v>3179.3731105521406</x:v>
      </x:c>
    </x:row>
    <x:row r="12" ht="21" customHeight="1">
      <x:c r="C12" s="61" t="str">
        <x:v>Change in net working capital</x:v>
      </x:c>
      <x:c r="D12" s="52" t="n">
        <x:f>D11-('Historicals'!H17+'Historicals'!H18+'Historicals'!H19-'Historicals'!H23-'Historicals'!H24)</x:f>
        <x:v>121.36985293424686</x:v>
      </x:c>
      <x:c r="E12" s="50" t="n">
        <x:f>E11-(D11)</x:f>
        <x:v>180.3703708317853</x:v>
      </x:c>
      <x:c r="F12" s="50" t="n">
        <x:f>F11-(E11)</x:f>
        <x:v>196.14723731810318</x:v>
      </x:c>
      <x:c r="G12" s="50" t="n">
        <x:f>G11-(F11)</x:f>
        <x:v>213.5209155195853</x:v>
      </x:c>
      <x:c r="H12" s="50" t="n">
        <x:f>H11-(G11)</x:f>
        <x:v>232.67573394841975</x:v>
      </x:c>
    </x:row>
    <x:row r="13" ht="21" customHeight="1">
      <x:c r="C13" s="59"/>
      <x:c r="D13" s="2"/>
      <x:c r="E13" s="2"/>
      <x:c r="F13" s="2"/>
      <x:c r="G13" s="2"/>
      <x:c r="H13" s="2"/>
    </x:row>
    <x:row r="14" ht="21" customHeight="1">
      <x:c r="C14" s="59"/>
      <x:c r="D14" s="2"/>
      <x:c r="E14" s="2"/>
      <x:c r="F14" s="2"/>
      <x:c r="G14" s="2"/>
      <x:c r="H14" s="2"/>
    </x:row>
    <x:row r="15" ht="21" customHeight="1">
      <x:c r="C15" s="59"/>
      <x:c r="D15" s="2"/>
      <x:c r="E15" s="2"/>
      <x:c r="F15" s="2"/>
      <x:c r="G15" s="2"/>
      <x:c r="H15" s="2"/>
    </x:row>
    <x:row r="16" ht="21" customHeight="1">
      <x:c r="C16" s="59"/>
      <x:c r="D16" s="2"/>
      <x:c r="E16" s="2"/>
      <x:c r="F16" s="2"/>
      <x:c r="G16" s="2"/>
      <x:c r="H16" s="2"/>
    </x:row>
    <x:row r="17" ht="21" customHeight="1">
      <x:c r="C17" s="59"/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/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Debt Schedule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Opening debt</x:v>
      </x:c>
      <x:c r="D6" s="12" t="n">
        <x:f>'Historicals'!H42</x:f>
        <x:v>0</x:v>
      </x:c>
      <x:c r="E6" s="12" t="n">
        <x:f>'Balance Sheet'!D21</x:f>
        <x:v>0</x:v>
      </x:c>
      <x:c r="F6" s="12" t="n">
        <x:f>'Balance Sheet'!E21</x:f>
        <x:v>0</x:v>
      </x:c>
      <x:c r="G6" s="12" t="n">
        <x:f>'Balance Sheet'!F21</x:f>
        <x:v>0</x:v>
      </x:c>
      <x:c r="H6" s="12" t="n">
        <x:f>'Balance Sheet'!G21</x:f>
        <x:v>0</x:v>
      </x:c>
    </x:row>
    <x:row r="7" ht="21" customHeight="1">
      <x:c r="C7" s="59" t="str">
        <x:v>Opening-debt interest</x:v>
      </x:c>
      <x:c r="D7" s="12" t="n">
        <x:f>D6*'Assumptions'!D79</x:f>
        <x:v>0</x:v>
      </x:c>
      <x:c r="E7" s="12" t="n">
        <x:f>E6*'Assumptions'!E79</x:f>
        <x:v>0</x:v>
      </x:c>
      <x:c r="F7" s="12" t="n">
        <x:f>F6*'Assumptions'!F79</x:f>
        <x:v>0</x:v>
      </x:c>
      <x:c r="G7" s="12" t="n">
        <x:f>G6*'Assumptions'!G79</x:f>
        <x:v>0</x:v>
      </x:c>
      <x:c r="H7" s="12" t="n">
        <x:f>H6*'Assumptions'!H79</x:f>
        <x:v>0</x:v>
      </x:c>
    </x:row>
    <x:row r="8" ht="21" customHeight="1">
      <x:c r="C8" s="59" t="str">
        <x:v>Mandatory repayment</x:v>
      </x:c>
      <x:c r="D8" s="12" t="n">
        <x:f>MIN(D6,'Historicals'!H42*'Assumptions'!D89)</x:f>
        <x:v>0</x:v>
      </x:c>
      <x:c r="E8" s="12" t="n">
        <x:f>MIN(E6,'Historicals'!H42*'Assumptions'!E89)</x:f>
        <x:v>0</x:v>
      </x:c>
      <x:c r="F8" s="12" t="n">
        <x:f>MIN(F6,'Historicals'!H42*'Assumptions'!F89)</x:f>
        <x:v>0</x:v>
      </x:c>
      <x:c r="G8" s="12" t="n">
        <x:f>MIN(G6,'Historicals'!H42*'Assumptions'!G89)</x:f>
        <x:v>0</x:v>
      </x:c>
      <x:c r="H8" s="12" t="n">
        <x:f>MIN(H6,'Historicals'!H42*'Assumptions'!H89)</x:f>
        <x:v>0</x:v>
      </x:c>
    </x:row>
    <x:row r="9" ht="21" customHeight="1">
      <x:c r="C9" s="59" t="str">
        <x:v>Cash before financing</x:v>
      </x:c>
      <x:c r="D9" s="12" t="n">
        <x:f>'Historicals'!H16+'Cash Flow'!D9-'Cash Flow'!D10-'Cash Flow'!D11</x:f>
        <x:v>2714.6228307249507</x:v>
      </x:c>
      <x:c r="E9" s="12" t="n">
        <x:f>'Balance Sheet'!D6+'Cash Flow'!E9-'Cash Flow'!E10-'Cash Flow'!E11</x:f>
        <x:v>3347.058438273047</x:v>
      </x:c>
      <x:c r="F9" s="12" t="n">
        <x:f>'Balance Sheet'!E6+'Cash Flow'!F9-'Cash Flow'!F10-'Cash Flow'!F11</x:f>
        <x:v>4024.908140809899</x:v>
      </x:c>
      <x:c r="G9" s="12" t="n">
        <x:f>'Balance Sheet'!F6+'Cash Flow'!G9-'Cash Flow'!G10-'Cash Flow'!G11</x:f>
        <x:v>4751.977226780002</x:v>
      </x:c>
      <x:c r="H9" s="12" t="n">
        <x:f>'Balance Sheet'!G6+'Cash Flow'!H9-'Cash Flow'!H10-'Cash Flow'!H11</x:f>
        <x:v>5532.435868784598</x:v>
      </x:c>
    </x:row>
    <x:row r="10" ht="21" customHeight="1">
      <x:c r="C10" s="59" t="str">
        <x:v>Liquidity borrowing</x:v>
      </x:c>
      <x:c r="D10" s="12" t="n">
        <x:f>MAX(0,'Assumptions'!D94-D9+D8)</x:f>
        <x:v>0</x:v>
      </x:c>
      <x:c r="E10" s="12" t="n">
        <x:f>MAX(0,'Assumptions'!E94-E9+E8)</x:f>
        <x:v>0</x:v>
      </x:c>
      <x:c r="F10" s="12" t="n">
        <x:f>MAX(0,'Assumptions'!F94-F9+F8)</x:f>
        <x:v>0</x:v>
      </x:c>
      <x:c r="G10" s="12" t="n">
        <x:f>MAX(0,'Assumptions'!G94-G9+G8)</x:f>
        <x:v>0</x:v>
      </x:c>
      <x:c r="H10" s="12" t="n">
        <x:f>MAX(0,'Assumptions'!H94-H9+H8)</x:f>
        <x:v>0</x:v>
      </x:c>
    </x:row>
    <x:row r="11" ht="21" customHeight="1">
      <x:c r="C11" s="59" t="str">
        <x:v>Optional repayment</x:v>
      </x:c>
      <x:c r="D11" s="12" t="n">
        <x:f>MIN(MAX(0,D6-D8),MAX(0,D9-D8-'Assumptions'!D94))</x:f>
        <x:v>0</x:v>
      </x:c>
      <x:c r="E11" s="12" t="n">
        <x:f>MIN(MAX(0,E6-E8),MAX(0,E9-E8-'Assumptions'!E94))</x:f>
        <x:v>0</x:v>
      </x:c>
      <x:c r="F11" s="12" t="n">
        <x:f>MIN(MAX(0,F6-F8),MAX(0,F9-F8-'Assumptions'!F94))</x:f>
        <x:v>0</x:v>
      </x:c>
      <x:c r="G11" s="12" t="n">
        <x:f>MIN(MAX(0,G6-G8),MAX(0,G9-G8-'Assumptions'!G94))</x:f>
        <x:v>0</x:v>
      </x:c>
      <x:c r="H11" s="12" t="n">
        <x:f>MIN(MAX(0,H6-H8),MAX(0,H9-H8-'Assumptions'!H94))</x:f>
        <x:v>0</x:v>
      </x:c>
    </x:row>
    <x:row r="12" ht="21" customHeight="1">
      <x:c r="C12" s="61" t="str">
        <x:v>Closing debt</x:v>
      </x:c>
      <x:c r="D12" s="50" t="n">
        <x:f>D6+D10-D8-D11</x:f>
        <x:v>0</x:v>
      </x:c>
      <x:c r="E12" s="50" t="n">
        <x:f>E6+E10-E8-E11</x:f>
        <x:v>0</x:v>
      </x:c>
      <x:c r="F12" s="50" t="n">
        <x:f>F6+F10-F8-F11</x:f>
        <x:v>0</x:v>
      </x:c>
      <x:c r="G12" s="50" t="n">
        <x:f>G6+G10-G8-G11</x:f>
        <x:v>0</x:v>
      </x:c>
      <x:c r="H12" s="50" t="n">
        <x:f>H6+H10-H8-H11</x:f>
        <x:v>0</x:v>
      </x:c>
    </x:row>
    <x:row r="13" ht="21" customHeight="1">
      <x:c r="C13" s="61" t="str">
        <x:v>Closing cash</x:v>
      </x:c>
      <x:c r="D13" s="50" t="n">
        <x:f>D9+D10-D8-D11</x:f>
        <x:v>2714.6228307249507</x:v>
      </x:c>
      <x:c r="E13" s="50" t="n">
        <x:f>E9+E10-E8-E11</x:f>
        <x:v>3347.058438273047</x:v>
      </x:c>
      <x:c r="F13" s="50" t="n">
        <x:f>F9+F10-F8-F11</x:f>
        <x:v>4024.908140809899</x:v>
      </x:c>
      <x:c r="G13" s="50" t="n">
        <x:f>G9+G10-G8-G11</x:f>
        <x:v>4751.977226780002</x:v>
      </x:c>
      <x:c r="H13" s="50" t="n">
        <x:f>H9+H10-H8-H11</x:f>
        <x:v>5532.435868784598</x:v>
      </x:c>
    </x:row>
    <x:row r="14" ht="21" customHeight="1">
      <x:c r="C14" s="59"/>
      <x:c r="D14" s="2"/>
      <x:c r="E14" s="2"/>
      <x:c r="F14" s="2"/>
      <x:c r="G14" s="2"/>
      <x:c r="H14" s="2"/>
    </x:row>
    <x:row r="15" ht="21" customHeight="1">
      <x:c r="C15" s="59"/>
      <x:c r="D15" s="2"/>
      <x:c r="E15" s="2"/>
      <x:c r="F15" s="2"/>
      <x:c r="G15" s="2"/>
      <x:c r="H15" s="2"/>
    </x:row>
    <x:row r="16" ht="21" customHeight="1">
      <x:c r="C16" s="59"/>
      <x:c r="D16" s="2"/>
      <x:c r="E16" s="2"/>
      <x:c r="F16" s="2"/>
      <x:c r="G16" s="2"/>
      <x:c r="H16" s="2"/>
    </x:row>
    <x:row r="17" ht="21" customHeight="1">
      <x:c r="C17" s="59"/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/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DCF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EBIT</x:v>
      </x:c>
      <x:c r="D6" s="12" t="n">
        <x:f>'Income Statement'!D12</x:f>
        <x:v>1716.9961437087504</x:v>
      </x:c>
      <x:c r="E6" s="12" t="n">
        <x:f>'Income Statement'!E12</x:f>
        <x:v>1851.489669050605</x:v>
      </x:c>
      <x:c r="F6" s="12" t="n">
        <x:f>'Income Statement'!F12</x:f>
        <x:v>1997.7723747050777</x:v>
      </x:c>
      <x:c r="G6" s="12" t="n">
        <x:f>'Income Statement'!G12</x:f>
        <x:v>2157.045996190339</x:v>
      </x:c>
      <x:c r="H6" s="12" t="n">
        <x:f>'Income Statement'!H12</x:f>
        <x:v>2330.6511152711564</x:v>
      </x:c>
    </x:row>
    <x:row r="7" ht="21" customHeight="1">
      <x:c r="C7" s="59" t="str">
        <x:v>NOPAT</x:v>
      </x:c>
      <x:c r="D7" s="12" t="n">
        <x:f>D6-MAX(0,D6)*'Assumptions'!D74</x:f>
        <x:v>1356.426953529913</x:v>
      </x:c>
      <x:c r="E7" s="12" t="n">
        <x:f>E6-MAX(0,E6)*'Assumptions'!E74</x:f>
        <x:v>1462.676838549978</x:v>
      </x:c>
      <x:c r="F7" s="12" t="n">
        <x:f>F6-MAX(0,F6)*'Assumptions'!F74</x:f>
        <x:v>1578.2401760170114</x:v>
      </x:c>
      <x:c r="G7" s="12" t="n">
        <x:f>G6-MAX(0,G6)*'Assumptions'!G74</x:f>
        <x:v>1704.0663369903677</x:v>
      </x:c>
      <x:c r="H7" s="12" t="n">
        <x:f>H6-MAX(0,H6)*'Assumptions'!H74</x:f>
        <x:v>1841.2143810642135</x:v>
      </x:c>
    </x:row>
    <x:row r="8" ht="21" customHeight="1">
      <x:c r="C8" s="59" t="str">
        <x:v>D&amp;A</x:v>
      </x:c>
      <x:c r="D8" s="12" t="n">
        <x:f>'Operating Forecast'!D18</x:f>
        <x:v>179.76346229125</x:v>
      </x:c>
      <x:c r="E8" s="12" t="n">
        <x:f>'Operating Forecast'!E18</x:f>
        <x:v>190.441238721395</x:v>
      </x:c>
      <x:c r="F8" s="12" t="n">
        <x:f>'Operating Forecast'!F18</x:f>
        <x:v>202.0278640947227</x:v>
      </x:c>
      <x:c r="G8" s="12" t="n">
        <x:f>'Operating Forecast'!G18</x:f>
        <x:v>214.60679865058316</x:v>
      </x:c>
      <x:c r="H8" s="12" t="n">
        <x:f>'Operating Forecast'!H18</x:f>
        <x:v>228.27101339815184</x:v>
      </x:c>
    </x:row>
    <x:row r="9" ht="21" customHeight="1">
      <x:c r="C9" s="59" t="str">
        <x:v>CapEx</x:v>
      </x:c>
      <x:c r="D9" s="12" t="n">
        <x:f>'Operating Forecast'!D15</x:f>
        <x:v>237.09495075000004</x:v>
      </x:c>
      <x:c r="E9" s="12" t="n">
        <x:f>'Operating Forecast'!E15</x:f>
        <x:v>255.24136347150002</x:v>
      </x:c>
      <x:c r="F9" s="12" t="n">
        <x:f>'Operating Forecast'!F15</x:f>
        <x:v>274.97502984997504</x:v>
      </x:c>
      <x:c r="G9" s="12" t="n">
        <x:f>'Operating Forecast'!G15</x:f>
        <x:v>296.45659935511526</x:v>
      </x:c>
      <x:c r="H9" s="12" t="n">
        <x:f>'Operating Forecast'!H15</x:f>
        <x:v>319.8652660836636</x:v>
      </x:c>
    </x:row>
    <x:row r="10" ht="21" customHeight="1">
      <x:c r="C10" s="59" t="str">
        <x:v>Change in NWC</x:v>
      </x:c>
      <x:c r="D10" s="12" t="n">
        <x:f>'Working Capital'!D12</x:f>
        <x:v>121.36985293424686</x:v>
      </x:c>
      <x:c r="E10" s="12" t="n">
        <x:f>'Working Capital'!E12</x:f>
        <x:v>180.3703708317853</x:v>
      </x:c>
      <x:c r="F10" s="12" t="n">
        <x:f>'Working Capital'!F12</x:f>
        <x:v>196.14723731810318</x:v>
      </x:c>
      <x:c r="G10" s="12" t="n">
        <x:f>'Working Capital'!G12</x:f>
        <x:v>213.5209155195853</x:v>
      </x:c>
      <x:c r="H10" s="12" t="n">
        <x:f>'Working Capital'!H12</x:f>
        <x:v>232.67573394841975</x:v>
      </x:c>
    </x:row>
    <x:row r="11" ht="21" customHeight="1">
      <x:c r="C11" s="61" t="str">
        <x:v>Unlevered free cash flow</x:v>
      </x:c>
      <x:c r="D11" s="50" t="n">
        <x:f>D7+D8-D9-D10</x:f>
        <x:v>1177.725612136916</x:v>
      </x:c>
      <x:c r="E11" s="50" t="n">
        <x:f>E7+E8-E9-E10</x:f>
        <x:v>1217.5063429680874</x:v>
      </x:c>
      <x:c r="F11" s="50" t="n">
        <x:f>F7+F8-F9-F10</x:f>
        <x:v>1309.1457729436559</x:v>
      </x:c>
      <x:c r="G11" s="50" t="n">
        <x:f>G7+G8-G9-G10</x:f>
        <x:v>1408.6956207662504</x:v>
      </x:c>
      <x:c r="H11" s="50" t="n">
        <x:f>H7+H8-H9-H10</x:f>
        <x:v>1516.9443944302823</x:v>
      </x:c>
    </x:row>
    <x:row r="12" ht="21" customHeight="1">
      <x:c r="C12" s="59" t="str">
        <x:v>Discount factor</x:v>
      </x:c>
      <x:c r="D12" s="36" t="n">
        <x:f>1/(1+$D$24)^1</x:f>
        <x:v>0.9178859251372239</x:v>
      </x:c>
      <x:c r="E12" s="36" t="n">
        <x:f>1/(1+$D$24)^2</x:f>
        <x:v>0.8425145715650173</x:v>
      </x:c>
      <x:c r="F12" s="36" t="n">
        <x:f>1/(1+$D$24)^3</x:f>
        <x:v>0.7733322669625478</x:v>
      </x:c>
      <x:c r="G12" s="36" t="n">
        <x:f>1/(1+$D$24)^4</x:f>
        <x:v>0.7098308032993847</x:v>
      </x:c>
      <x:c r="H12" s="36" t="n">
        <x:f>1/(1+$D$24)^5</x:f>
        <x:v>0.6515437035773546</x:v>
      </x:c>
    </x:row>
    <x:row r="13" ht="21" customHeight="1">
      <x:c r="C13" s="59" t="str">
        <x:v>PV of free cash flow</x:v>
      </x:c>
      <x:c r="D13" s="15" t="n">
        <x:f>D11*D12</x:f>
        <x:v>1081.0177630540963</x:v>
      </x:c>
      <x:c r="E13" s="15" t="n">
        <x:f>E11*E12</x:f>
        <x:v>1025.766834923449</x:v>
      </x:c>
      <x:c r="F13" s="15" t="n">
        <x:f>F11*F12</x:f>
        <x:v>1012.4046683749542</x:v>
      </x:c>
      <x:c r="G13" s="15" t="n">
        <x:f>G11*G12</x:f>
        <x:v>999.935544092833</x:v>
      </x:c>
      <x:c r="H13" s="15" t="n">
        <x:f>H11*H12</x:f>
        <x:v>988.3555688680135</x:v>
      </x:c>
    </x:row>
    <x:row r="14" ht="21" customHeight="1">
      <x:c r="C14" s="59"/>
      <x:c r="D14" s="2"/>
      <x:c r="E14" s="2"/>
      <x:c r="F14" s="2"/>
      <x:c r="G14" s="2"/>
      <x:c r="H14" s="2"/>
    </x:row>
    <x:row r="15" ht="21" customHeight="1">
      <x:c r="C15" s="59"/>
      <x:c r="D15" s="2"/>
      <x:c r="E15" s="2"/>
      <x:c r="F15" s="2"/>
      <x:c r="G15" s="2"/>
      <x:c r="H15" s="2"/>
    </x:row>
    <x:row r="16" ht="21" customHeight="1">
      <x:c r="C16" s="59" t="str">
        <x:v>PV of explicit free cash flows</x:v>
      </x:c>
      <x:c r="D16" s="15" t="n">
        <x:f>SUM(D13:H13)</x:f>
        <x:v>5107.480379313347</x:v>
      </x:c>
      <x:c r="E16" s="2"/>
      <x:c r="F16" s="2"/>
      <x:c r="G16" s="2"/>
      <x:c r="H16" s="2"/>
    </x:row>
    <x:row r="17" ht="21" customHeight="1">
      <x:c r="C17" s="59" t="str">
        <x:v>Terminal value</x:v>
      </x:c>
      <x:c r="D17" s="12" t="n">
        <x:f>IF(D28=1,IF(D24&gt;D25,H11*(1+D25)/(D24-D25),NA()),'Operating Forecast'!H19*D26)</x:f>
        <x:v>24121.43971906669</x:v>
      </x:c>
      <x:c r="E17" s="2"/>
      <x:c r="F17" s="2"/>
      <x:c r="G17" s="2"/>
      <x:c r="H17" s="2"/>
    </x:row>
    <x:row r="18" ht="21" customHeight="1">
      <x:c r="C18" s="59" t="str">
        <x:v>PV of terminal value</x:v>
      </x:c>
      <x:c r="D18" s="15" t="n">
        <x:f>D17*H12</x:f>
        <x:v>15716.172170178614</x:v>
      </x:c>
      <x:c r="E18" s="2"/>
      <x:c r="F18" s="2"/>
      <x:c r="G18" s="2"/>
      <x:c r="H18" s="2"/>
    </x:row>
    <x:row r="19" ht="21" customHeight="1">
      <x:c r="C19" s="61" t="str">
        <x:v>Enterprise value</x:v>
      </x:c>
      <x:c r="D19" s="50" t="n">
        <x:f>D16+D18</x:f>
        <x:v>20823.652549491962</x:v>
      </x:c>
      <x:c r="E19" s="54"/>
      <x:c r="F19" s="54"/>
      <x:c r="G19" s="54"/>
      <x:c r="H19" s="54"/>
    </x:row>
    <x:row r="20" ht="21" customHeight="1">
      <x:c r="C20" s="59" t="str">
        <x:v>Net financial debt</x:v>
      </x:c>
      <x:c r="D20" s="12" t="n">
        <x:f>'Historicals'!H42-'Historicals'!H16-'Historicals'!H28</x:f>
        <x:v>-3699.069</x:v>
      </x:c>
      <x:c r="E20" s="2"/>
      <x:c r="F20" s="2"/>
      <x:c r="G20" s="2"/>
      <x:c r="H20" s="2"/>
    </x:row>
    <x:row r="21" ht="21" customHeight="1">
      <x:c r="C21" s="61" t="str">
        <x:v>Equity value</x:v>
      </x:c>
      <x:c r="D21" s="50" t="n">
        <x:f>D19-D20</x:f>
        <x:v>24522.721549491962</x:v>
      </x:c>
      <x:c r="E21" s="54"/>
      <x:c r="F21" s="54"/>
      <x:c r="G21" s="54"/>
      <x:c r="H21" s="54"/>
    </x:row>
    <x:row r="22" ht="21" customHeight="1">
      <x:c r="C22" s="59" t="str">
        <x:v>Shares outstanding (millions)</x:v>
      </x:c>
      <x:c r="D22" s="2" t="n">
        <x:v>192.468</x:v>
      </x:c>
      <x:c r="E22" s="2"/>
      <x:c r="F22" s="2"/>
      <x:c r="G22" s="2"/>
      <x:c r="H22" s="2"/>
    </x:row>
    <x:row r="23" ht="21" customHeight="1">
      <x:c r="C23" s="61" t="str">
        <x:v>Implied value per share (USD)</x:v>
      </x:c>
      <x:c r="D23" s="56" t="n">
        <x:f>D21/D22</x:f>
        <x:v>127.41194146295469</x:v>
      </x:c>
      <x:c r="E23" s="54"/>
      <x:c r="F23" s="54"/>
      <x:c r="G23" s="54"/>
      <x:c r="H23" s="54"/>
    </x:row>
    <x:row r="24" ht="21" customHeight="1">
      <x:c r="C24" s="59" t="str">
        <x:v>WACC</x:v>
      </x:c>
      <x:c r="D24" s="24" t="n">
        <x:f>(1-'Assumptions'!$D$128)*('Assumptions'!$D$124+'Assumptions'!$D$125*'Assumptions'!$D$126)+'Assumptions'!$D$128*'Assumptions'!$D$127*(1-'Assumptions'!D74)</x:f>
        <x:v>0.08946000000000001</x:v>
      </x:c>
      <x:c r="E24" s="2"/>
      <x:c r="F24" s="2"/>
      <x:c r="G24" s="2"/>
      <x:c r="H24" s="2"/>
    </x:row>
    <x:row r="25" ht="21" customHeight="1">
      <x:c r="C25" s="59" t="str">
        <x:v>Terminal growth</x:v>
      </x:c>
      <x:c r="D25" s="24" t="n">
        <x:f>'Assumptions'!$D$129</x:f>
        <x:v>0.025</x:v>
      </x:c>
      <x:c r="E25" s="2"/>
      <x:c r="F25" s="2"/>
      <x:c r="G25" s="2"/>
      <x:c r="H25" s="2"/>
    </x:row>
    <x:row r="26" ht="21" customHeight="1">
      <x:c r="C26" s="59" t="str">
        <x:v>Exit EBITDA multiple</x:v>
      </x:c>
      <x:c r="D26" s="12" t="n">
        <x:f>'Assumptions'!$D$134</x:f>
        <x:v>14</x:v>
      </x:c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 t="str">
        <x:v>Terminal method: 1 growth / 2 multiple</x:v>
      </x:c>
      <x:c r="D28" s="17" t="n">
        <x:v>1</x:v>
      </x:c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dataValidations count="1">
    <x:dataValidation type="list" sqref="D28">
      <x:formula1>"1,2"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Comps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38" customHeight="1">
      <x:c r="C5" s="28" t="str">
        <x:v>Ticker</x:v>
      </x:c>
      <x:c r="D5" s="28" t="str">
        <x:v>FY end</x:v>
      </x:c>
      <x:c r="E5" s="28" t="str">
        <x:v>Share price</x:v>
      </x:c>
      <x:c r="F5" s="28" t="str">
        <x:v>Shares (m)</x:v>
      </x:c>
      <x:c r="G5" s="28" t="str">
        <x:v>Debt</x:v>
      </x:c>
      <x:c r="H5" s="28" t="str">
        <x:v>Cash</x:v>
      </x:c>
      <x:c r="I5" s="29" t="str">
        <x:v>Revenue</x:v>
      </x:c>
      <x:c r="J5" s="29" t="str">
        <x:v>EBITDA</x:v>
      </x:c>
      <x:c r="K5" s="29" t="str">
        <x:v>EBIT</x:v>
      </x:c>
      <x:c r="L5" s="29" t="str">
        <x:v>Net income</x:v>
      </x:c>
      <x:c r="M5" s="29" t="str">
        <x:v>Market cap</x:v>
      </x:c>
      <x:c r="N5" s="29" t="str">
        <x:v>EV</x:v>
      </x:c>
      <x:c r="O5" s="29" t="str">
        <x:v>EV / EBITDA</x:v>
      </x:c>
      <x:c r="P5" s="29" t="str">
        <x:v>EV / sales</x:v>
      </x:c>
      <x:c r="Q5" s="29" t="str">
        <x:v>EV / EBIT</x:v>
      </x:c>
      <x:c r="R5" s="29" t="str">
        <x:v>P/E</x:v>
      </x:c>
    </x:row>
    <x:row r="6" ht="21" customHeight="1">
      <x:c r="C6" s="59" t="str">
        <x:v>LOGI</x:v>
      </x:c>
      <x:c r="D6" s="2" t="str">
        <x:v>2024-03-31</x:v>
      </x:c>
      <x:c r="E6" s="46" t="n">
        <x:v>98.94000244140625</x:v>
      </x:c>
      <x:c r="F6" s="2" t="n">
        <x:v>153.863</x:v>
      </x:c>
      <x:c r="G6" s="2" t="n">
        <x:v>0</x:v>
      </x:c>
      <x:c r="H6" s="2" t="n">
        <x:v>1520.842</x:v>
      </x:c>
      <x:c r="I6" s="42" t="n">
        <x:v>4298.467</x:v>
      </x:c>
      <x:c r="J6" s="42" t="n">
        <x:v>672.0820000000001</x:v>
      </x:c>
      <x:c r="K6" s="42" t="n">
        <x:v>587.336</x:v>
      </x:c>
      <x:c r="L6" s="42" t="n">
        <x:v>612.143</x:v>
      </x:c>
      <x:c r="M6" s="43" t="n">
        <x:f>E6*F6</x:f>
        <x:v>15223.20559564209</x:v>
      </x:c>
      <x:c r="N6" s="43" t="n">
        <x:f>M6+G6-H6</x:f>
        <x:v>13702.36359564209</x:v>
      </x:c>
      <x:c r="O6" s="44" t="n">
        <x:f>IF(J6&gt;0,N6/J6,NA())</x:f>
        <x:v>20.38793420392465</x:v>
      </x:c>
      <x:c r="P6" s="44" t="n">
        <x:f>IF(I6&gt;0,N6/I6,NA())</x:f>
        <x:v>3.1877326487889963</x:v>
      </x:c>
      <x:c r="Q6" s="44" t="n">
        <x:f>IF(K6&gt;0,N6/K6,NA())</x:f>
        <x:v>23.3296845343076</x:v>
      </x:c>
      <x:c r="R6" s="44" t="n">
        <x:f>IF(L6&gt;0,M6/L6,NA())</x:f>
        <x:v>24.868708121537107</x:v>
      </x:c>
    </x:row>
    <x:row r="7" ht="21" customHeight="1">
      <x:c r="C7" s="59" t="str">
        <x:v>PII</x:v>
      </x:c>
      <x:c r="D7" s="2" t="str">
        <x:v>2024-12-31</x:v>
      </x:c>
      <x:c r="E7" s="46" t="n">
        <x:v>44.91999816894531</x:v>
      </x:c>
      <x:c r="F7" s="2" t="n">
        <x:v>56.1</x:v>
      </x:c>
      <x:c r="G7" s="2" t="n">
        <x:v>2032</x:v>
      </x:c>
      <x:c r="H7" s="2" t="n">
        <x:v>287.8</x:v>
      </x:c>
      <x:c r="I7" s="42" t="n">
        <x:v>7175.4</x:v>
      </x:c>
      <x:c r="J7" s="42" t="n">
        <x:v>576.9</x:v>
      </x:c>
      <x:c r="K7" s="42" t="n">
        <x:v>290.6</x:v>
      </x:c>
      <x:c r="L7" s="42" t="n">
        <x:v>110.8</x:v>
      </x:c>
      <x:c r="M7" s="43" t="n">
        <x:f>E7*F7</x:f>
        <x:v>2520.0118972778323</x:v>
      </x:c>
      <x:c r="N7" s="43" t="n">
        <x:f>M7+G7-H7</x:f>
        <x:v>4264.211897277833</x:v>
      </x:c>
      <x:c r="O7" s="44" t="n">
        <x:f>IF(J7&gt;0,N7/J7,NA())</x:f>
        <x:v>7.391596285799675</x:v>
      </x:c>
      <x:c r="P7" s="44" t="n">
        <x:f>IF(I7&gt;0,N7/I7,NA())</x:f>
        <x:v>0.5942821162970472</x:v>
      </x:c>
      <x:c r="Q7" s="44" t="n">
        <x:f>IF(K7&gt;0,N7/K7,NA())</x:f>
        <x:v>14.6738193299306</x:v>
      </x:c>
      <x:c r="R7" s="44" t="n">
        <x:f>IF(L7&gt;0,M7/L7,NA())</x:f>
        <x:v>22.743789686623035</x:v>
      </x:c>
    </x:row>
    <x:row r="8" ht="21" customHeight="1">
      <x:c r="C8" s="59"/>
      <x:c r="D8" s="2"/>
      <x:c r="E8" s="2"/>
      <x:c r="F8" s="2"/>
      <x:c r="G8" s="2"/>
      <x:c r="H8" s="2"/>
      <x:c r="I8" s="42"/>
      <x:c r="J8" s="42"/>
      <x:c r="K8" s="42"/>
      <x:c r="L8" s="42"/>
      <x:c r="M8" s="42"/>
      <x:c r="N8" s="42"/>
      <x:c r="O8" s="45"/>
      <x:c r="P8" s="45"/>
      <x:c r="Q8" s="45"/>
      <x:c r="R8" s="45"/>
    </x:row>
    <x:row r="9" ht="21" customHeight="1">
      <x:c r="C9" s="59"/>
      <x:c r="D9" s="2"/>
      <x:c r="E9" s="2"/>
      <x:c r="F9" s="2"/>
      <x:c r="G9" s="2"/>
      <x:c r="H9" s="2"/>
      <x:c r="I9" s="42"/>
      <x:c r="J9" s="42"/>
      <x:c r="K9" s="42"/>
      <x:c r="L9" s="42"/>
      <x:c r="M9" s="42"/>
      <x:c r="N9" s="42"/>
      <x:c r="O9" s="45"/>
      <x:c r="P9" s="45"/>
      <x:c r="Q9" s="45"/>
      <x:c r="R9" s="45"/>
    </x:row>
    <x:row r="10" ht="21" customHeight="1">
      <x:c r="C10" s="59" t="str">
        <x:v>Target EV at peer EBITDA multiple</x:v>
      </x:c>
      <x:c r="D10" s="2"/>
      <x:c r="E10" s="2"/>
      <x:c r="F10" s="2"/>
      <x:c r="G10" s="2"/>
      <x:c r="H10" s="2"/>
      <x:c r="I10" s="42"/>
      <x:c r="J10" s="42"/>
      <x:c r="K10" s="42"/>
      <x:c r="L10" s="42"/>
      <x:c r="M10" s="42"/>
      <x:c r="N10" s="42"/>
      <x:c r="O10" s="45"/>
      <x:c r="P10" s="45"/>
      <x:c r="Q10" s="45"/>
      <x:c r="R10" s="45"/>
    </x:row>
    <x:row r="11" ht="21" customHeight="1">
      <x:c r="C11" s="59" t="str">
        <x:v>Mean</x:v>
      </x:c>
      <x:c r="D11" s="12" t="n">
        <x:f>O11*'Historicals'!H47</x:f>
        <x:v>24517.574681029426</x:v>
      </x:c>
      <x:c r="E11" s="2"/>
      <x:c r="F11" s="2"/>
      <x:c r="G11" s="2"/>
      <x:c r="H11" s="2"/>
      <x:c r="I11" s="42"/>
      <x:c r="J11" s="42"/>
      <x:c r="K11" s="42"/>
      <x:c r="L11" s="42"/>
      <x:c r="M11" s="42"/>
      <x:c r="N11" s="42"/>
      <x:c r="O11" s="44" t="n">
        <x:f>AVERAGE(O6:O7)</x:f>
        <x:v>13.889765244862163</x:v>
      </x:c>
      <x:c r="P11" s="44" t="n">
        <x:f>AVERAGE(P6:P7)</x:f>
        <x:v>1.8910073825430218</x:v>
      </x:c>
      <x:c r="Q11" s="44" t="n">
        <x:f>AVERAGE(Q6:Q7)</x:f>
        <x:v>19.0017519321191</x:v>
      </x:c>
      <x:c r="R11" s="44" t="n">
        <x:f>AVERAGE(R6:R7)</x:f>
        <x:v>23.80624890408007</x:v>
      </x:c>
    </x:row>
    <x:row r="12" ht="21" customHeight="1">
      <x:c r="C12" s="59" t="str">
        <x:v>Median</x:v>
      </x:c>
      <x:c r="D12" s="12" t="n">
        <x:f>O12*'Historicals'!H47</x:f>
        <x:v>24517.574681029426</x:v>
      </x:c>
      <x:c r="E12" s="2"/>
      <x:c r="F12" s="2"/>
      <x:c r="G12" s="2"/>
      <x:c r="H12" s="2"/>
      <x:c r="I12" s="42"/>
      <x:c r="J12" s="42"/>
      <x:c r="K12" s="42"/>
      <x:c r="L12" s="42"/>
      <x:c r="M12" s="42"/>
      <x:c r="N12" s="42"/>
      <x:c r="O12" s="44" t="n">
        <x:f>MEDIAN(O6:O7)</x:f>
        <x:v>13.889765244862163</x:v>
      </x:c>
      <x:c r="P12" s="44" t="n">
        <x:f>MEDIAN(P6:P7)</x:f>
        <x:v>1.8910073825430218</x:v>
      </x:c>
      <x:c r="Q12" s="44" t="n">
        <x:f>MEDIAN(Q6:Q7)</x:f>
        <x:v>19.0017519321191</x:v>
      </x:c>
      <x:c r="R12" s="44" t="n">
        <x:f>MEDIAN(R6:R7)</x:f>
        <x:v>23.80624890408007</x:v>
      </x:c>
    </x:row>
    <x:row r="13" ht="21" customHeight="1">
      <x:c r="C13" s="59" t="str">
        <x:v>25th percentile</x:v>
      </x:c>
      <x:c r="D13" s="12" t="n">
        <x:f>O13*'Historicals'!H47</x:f>
        <x:v>18782.440215646933</x:v>
      </x:c>
      <x:c r="E13" s="2"/>
      <x:c r="F13" s="2"/>
      <x:c r="G13" s="2"/>
      <x:c r="H13" s="2"/>
      <x:c r="I13" s="42"/>
      <x:c r="J13" s="42"/>
      <x:c r="K13" s="42"/>
      <x:c r="L13" s="42"/>
      <x:c r="M13" s="42"/>
      <x:c r="N13" s="42"/>
      <x:c r="O13" s="44" t="n">
        <x:f>PERCENTILE(O6:O7,0.25)</x:f>
        <x:v>10.64068076533092</x:v>
      </x:c>
      <x:c r="P13" s="44" t="n">
        <x:f>PERCENTILE(P6:P7,0.25)</x:f>
        <x:v>1.24264474942003</x:v>
      </x:c>
      <x:c r="Q13" s="44" t="n">
        <x:f>PERCENTILE(Q6:Q7,0.25)</x:f>
        <x:v>16.83778563102485</x:v>
      </x:c>
      <x:c r="R13" s="44" t="n">
        <x:f>PERCENTILE(R6:R7,0.25)</x:f>
        <x:v>23.27501929535156</x:v>
      </x:c>
    </x:row>
    <x:row r="14" ht="21" customHeight="1">
      <x:c r="C14" s="59" t="str">
        <x:v>75th percentile</x:v>
      </x:c>
      <x:c r="D14" s="12" t="n">
        <x:f>O14*'Historicals'!H47</x:f>
        <x:v>30252.709146411926</x:v>
      </x:c>
      <x:c r="E14" s="2"/>
      <x:c r="F14" s="2"/>
      <x:c r="G14" s="2"/>
      <x:c r="H14" s="2"/>
      <x:c r="I14" s="42"/>
      <x:c r="J14" s="42"/>
      <x:c r="K14" s="42"/>
      <x:c r="L14" s="42"/>
      <x:c r="M14" s="42"/>
      <x:c r="N14" s="42"/>
      <x:c r="O14" s="44" t="n">
        <x:f>PERCENTILE(O6:O7,0.75)</x:f>
        <x:v>17.13884972439341</x:v>
      </x:c>
      <x:c r="P14" s="44" t="n">
        <x:f>PERCENTILE(P6:P7,0.75)</x:f>
        <x:v>2.53937001566601</x:v>
      </x:c>
      <x:c r="Q14" s="44" t="n">
        <x:f>PERCENTILE(Q6:Q7,0.75)</x:f>
        <x:v>21.16571823321335</x:v>
      </x:c>
      <x:c r="R14" s="44" t="n">
        <x:f>PERCENTILE(R6:R7,0.75)</x:f>
        <x:v>24.33747851280859</x:v>
      </x:c>
    </x:row>
    <x:row r="15" ht="21" customHeight="1">
      <x:c r="C15" s="59"/>
      <x:c r="D15" s="2"/>
      <x:c r="E15" s="2"/>
      <x:c r="F15" s="2"/>
      <x:c r="G15" s="2"/>
      <x:c r="H15" s="2"/>
    </x:row>
    <x:row r="16" ht="21" customHeight="1">
      <x:c r="C16" s="59"/>
      <x:c r="D16" s="2"/>
      <x:c r="E16" s="2"/>
      <x:c r="F16" s="2"/>
      <x:c r="G16" s="2"/>
      <x:c r="H16" s="2"/>
    </x:row>
    <x:row r="17" ht="21" customHeight="1">
      <x:c r="C17" s="59" t="str">
        <x:v>Historical annual references; not LTM</x:v>
      </x:c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 t="str">
        <x:v>LOGI: 2024-03-31; PII: 2024-12-31</x:v>
      </x:c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 t="str">
        <x:v>Market observation: 2025-02-28</x:v>
      </x:c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 t="str">
        <x:v>Sources: SEC companyfacts; Yahoo daily closes</x:v>
      </x:c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QoE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"/>
      <x:c r="D5" s="1"/>
      <x:c r="E5" s="1"/>
      <x:c r="F5" s="1"/>
      <x:c r="G5" s="1"/>
      <x:c r="H5" s="1"/>
    </x:row>
    <x:row r="6" ht="21" customHeight="1">
      <x:c r="C6" s="59" t="str">
        <x:v>Reported-derived EBITDA</x:v>
      </x:c>
      <x:c r="D6" s="12" t="n">
        <x:f>'Historicals'!H47</x:f>
        <x:v>1765.154</x:v>
      </x:c>
      <x:c r="E6" s="2"/>
      <x:c r="F6" s="2"/>
      <x:c r="G6" s="2"/>
      <x:c r="H6" s="2"/>
    </x:row>
    <x:row r="7" ht="21" customHeight="1">
      <x:c r="C7" s="59" t="str">
        <x:v>Scenario adjustment (not disclosed)</x:v>
      </x:c>
      <x:c r="D7" s="16" t="n">
        <x:v>0</x:v>
      </x:c>
      <x:c r="E7" s="2"/>
      <x:c r="F7" s="2"/>
      <x:c r="G7" s="2"/>
      <x:c r="H7" s="2"/>
    </x:row>
    <x:row r="8" ht="21" customHeight="1">
      <x:c r="C8" s="59" t="str">
        <x:v>Adjusted EBITDA</x:v>
      </x:c>
      <x:c r="D8" s="15" t="n">
        <x:f>SUM(D6:D7)</x:f>
        <x:v>1765.154</x:v>
      </x:c>
      <x:c r="E8" s="2"/>
      <x:c r="F8" s="2"/>
      <x:c r="G8" s="2"/>
      <x:c r="H8" s="2"/>
    </x:row>
    <x:row r="9" ht="21" customHeight="1">
      <x:c r="C9" s="59"/>
      <x:c r="D9" s="2"/>
      <x:c r="E9" s="2"/>
      <x:c r="F9" s="2"/>
      <x:c r="G9" s="2"/>
      <x:c r="H9" s="2"/>
    </x:row>
    <x:row r="10" ht="21" customHeight="1">
      <x:c r="C10" s="59" t="str">
        <x:v>CFO / EBITDA</x:v>
      </x:c>
      <x:c r="D10" s="24" t="n">
        <x:f>'Historicals'!H29/D6</x:f>
        <x:v>0.8115274927853321</x:v>
      </x:c>
      <x:c r="E10" s="2"/>
      <x:c r="F10" s="2"/>
      <x:c r="G10" s="2"/>
      <x:c r="H10" s="2"/>
    </x:row>
    <x:row r="11" ht="21" customHeight="1">
      <x:c r="C11" s="59" t="str">
        <x:v>FCF / EBITDA</x:v>
      </x:c>
      <x:c r="D11" s="24" t="n">
        <x:f>('Historicals'!H29-'Historicals'!H30)/D6</x:f>
        <x:v>0.7018651063873181</x:v>
      </x:c>
      <x:c r="E11" s="2"/>
      <x:c r="F11" s="2"/>
      <x:c r="G11" s="2"/>
      <x:c r="H11" s="2"/>
    </x:row>
    <x:row r="12" ht="21" customHeight="1">
      <x:c r="C12" s="59" t="str">
        <x:v>Recurring SBC (no addback)</x:v>
      </x:c>
      <x:c r="D12" s="12" t="n">
        <x:f>'Historicals'!H35</x:f>
        <x:v>137.162</x:v>
      </x:c>
      <x:c r="E12" s="2"/>
      <x:c r="F12" s="2"/>
      <x:c r="G12" s="2"/>
      <x:c r="H12" s="2"/>
    </x:row>
    <x:row r="13" ht="21" customHeight="1">
      <x:c r="C13" s="59"/>
      <x:c r="D13" s="2"/>
      <x:c r="E13" s="2"/>
      <x:c r="F13" s="2"/>
      <x:c r="G13" s="2"/>
      <x:c r="H13" s="2"/>
    </x:row>
    <x:row r="14" ht="21" customHeight="1">
      <x:c r="C14" s="59"/>
      <x:c r="D14" s="2"/>
      <x:c r="E14" s="2"/>
      <x:c r="F14" s="2"/>
      <x:c r="G14" s="2"/>
      <x:c r="H14" s="2"/>
    </x:row>
    <x:row r="15" ht="21" customHeight="1">
      <x:c r="C15" s="59" t="str">
        <x:v>Default: no supported EBITDA addbacks</x:v>
      </x:c>
      <x:c r="D15" s="2"/>
      <x:c r="E15" s="2"/>
      <x:c r="F15" s="2"/>
      <x:c r="G15" s="2"/>
      <x:c r="H15" s="2"/>
    </x:row>
    <x:row r="16" ht="21" customHeight="1">
      <x:c r="C16" s="59"/>
      <x:c r="D16" s="2"/>
      <x:c r="E16" s="2"/>
      <x:c r="F16" s="2"/>
      <x:c r="G16" s="2"/>
      <x:c r="H16" s="2"/>
    </x:row>
    <x:row r="17" ht="21" customHeight="1">
      <x:c r="C17" s="59" t="str">
        <x:v>Bridge adjustment does not change financing</x:v>
      </x:c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 t="str">
        <x:v>Revise assumptions explicitly if substantiated</x:v>
      </x:c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LBO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7" t="str">
        <x:v>Forecast fiscal years</x:v>
      </x:c>
      <x:c r="D5" s="8" t="n">
        <x:v>2025</x:v>
      </x:c>
      <x:c r="E5" s="8" t="n">
        <x:v>2026</x:v>
      </x:c>
      <x:c r="F5" s="8" t="n">
        <x:v>2027</x:v>
      </x:c>
      <x:c r="G5" s="8" t="n">
        <x:v>2028</x:v>
      </x:c>
      <x:c r="H5" s="8" t="n">
        <x:v>2029</x:v>
      </x:c>
    </x:row>
    <x:row r="6" ht="21" customHeight="1">
      <x:c r="C6" s="59" t="str">
        <x:v>Entry enterprise value (editable)</x:v>
      </x:c>
      <x:c r="D6" s="16" t="n">
        <x:v>26477.31</x:v>
      </x:c>
      <x:c r="E6" s="2"/>
      <x:c r="F6" s="2"/>
      <x:c r="G6" s="2"/>
      <x:c r="H6" s="2"/>
    </x:row>
    <x:row r="7" ht="21" customHeight="1">
      <x:c r="C7" s="59" t="str">
        <x:v>Entry EBITDA</x:v>
      </x:c>
      <x:c r="D7" s="12" t="n">
        <x:f>'Historicals'!H47</x:f>
        <x:v>1765.154</x:v>
      </x:c>
      <x:c r="E7" s="2"/>
      <x:c r="F7" s="2"/>
      <x:c r="G7" s="2"/>
      <x:c r="H7" s="2"/>
    </x:row>
    <x:row r="8" ht="21" customHeight="1">
      <x:c r="C8" s="59" t="str">
        <x:v>New term debt</x:v>
      </x:c>
      <x:c r="D8" s="12" t="n">
        <x:f>MIN(D7*'Assumptions'!$D$130,D6*0.7)</x:f>
        <x:v>5295.4619999999995</x:v>
      </x:c>
      <x:c r="E8" s="2"/>
      <x:c r="F8" s="2"/>
      <x:c r="G8" s="2"/>
      <x:c r="H8" s="2"/>
    </x:row>
    <x:row r="9" ht="21" customHeight="1">
      <x:c r="C9" s="59" t="str">
        <x:v>Transaction and financing fees</x:v>
      </x:c>
      <x:c r="D9" s="12" t="n">
        <x:f>D6*'Assumptions'!$D$131+D8*'Assumptions'!$D$132</x:f>
        <x:v>635.45544</x:v>
      </x:c>
      <x:c r="E9" s="2"/>
      <x:c r="F9" s="2"/>
      <x:c r="G9" s="2"/>
      <x:c r="H9" s="2"/>
    </x:row>
    <x:row r="10" ht="21" customHeight="1">
      <x:c r="C10" s="59" t="str">
        <x:v>Equity purchase consideration</x:v>
      </x:c>
      <x:c r="D10" s="12" t="n">
        <x:f>D6-'Historicals'!H42+'Historicals'!H16+'Historicals'!H28</x:f>
        <x:v>30176.379</x:v>
      </x:c>
      <x:c r="E10" s="2"/>
      <x:c r="F10" s="2"/>
      <x:c r="G10" s="2"/>
      <x:c r="H10" s="2"/>
    </x:row>
    <x:row r="11" ht="21" customHeight="1">
      <x:c r="C11" s="59" t="str">
        <x:v>Refinance financial debt</x:v>
      </x:c>
      <x:c r="D11" s="12" t="n">
        <x:f>'Historicals'!H42</x:f>
        <x:v>0</x:v>
      </x:c>
      <x:c r="E11" s="2"/>
      <x:c r="F11" s="2"/>
      <x:c r="G11" s="2"/>
      <x:c r="H11" s="2"/>
    </x:row>
    <x:row r="12" ht="21" customHeight="1">
      <x:c r="C12" s="59" t="str">
        <x:v>Minimum operating cash</x:v>
      </x:c>
      <x:c r="D12" s="12" t="n">
        <x:f>'Assumptions'!D94</x:f>
        <x:v>300</x:v>
      </x:c>
      <x:c r="E12" s="2"/>
      <x:c r="F12" s="2"/>
      <x:c r="G12" s="2"/>
      <x:c r="H12" s="2"/>
    </x:row>
    <x:row r="13" ht="21" customHeight="1">
      <x:c r="C13" s="61" t="str">
        <x:v>Total uses</x:v>
      </x:c>
      <x:c r="D13" s="50" t="n">
        <x:f>SUM(D9:D12)</x:f>
        <x:v>31111.834440000002</x:v>
      </x:c>
      <x:c r="E13" s="54"/>
      <x:c r="F13" s="54"/>
      <x:c r="G13" s="54"/>
      <x:c r="H13" s="54"/>
    </x:row>
    <x:row r="14" ht="21" customHeight="1">
      <x:c r="C14" s="59" t="str">
        <x:v>Target cash and securities source</x:v>
      </x:c>
      <x:c r="D14" s="12" t="n">
        <x:f>'Historicals'!H16+'Historicals'!H28</x:f>
        <x:v>3699.069</x:v>
      </x:c>
      <x:c r="E14" s="2"/>
      <x:c r="F14" s="2"/>
      <x:c r="G14" s="2"/>
      <x:c r="H14" s="2"/>
    </x:row>
    <x:row r="15" ht="21" customHeight="1">
      <x:c r="C15" s="59" t="str">
        <x:v>Sponsor equity source</x:v>
      </x:c>
      <x:c r="D15" s="15" t="n">
        <x:f>D13-D8-D14</x:f>
        <x:v>22117.303440000003</x:v>
      </x:c>
      <x:c r="E15" s="2"/>
      <x:c r="F15" s="2"/>
      <x:c r="G15" s="2"/>
      <x:c r="H15" s="2"/>
    </x:row>
    <x:row r="16" ht="21" customHeight="1">
      <x:c r="C16" s="61" t="str">
        <x:v>Total sources</x:v>
      </x:c>
      <x:c r="D16" s="50" t="n">
        <x:f>D8+D14+D15</x:f>
        <x:v>31111.834440000002</x:v>
      </x:c>
      <x:c r="E16" s="54"/>
      <x:c r="F16" s="54"/>
      <x:c r="G16" s="54"/>
      <x:c r="H16" s="54"/>
    </x:row>
    <x:row r="17" ht="21" customHeight="1">
      <x:c r="C17" s="59" t="str">
        <x:v>Sources less uses</x:v>
      </x:c>
      <x:c r="D17" s="15" t="n">
        <x:f>D16-D13</x:f>
        <x:v>0</x:v>
      </x:c>
      <x:c r="E17" s="2"/>
      <x:c r="F17" s="2"/>
      <x:c r="G17" s="2"/>
      <x:c r="H17" s="2"/>
    </x:row>
    <x:row r="18" ht="21" customHeight="1">
      <x:c r="C18" s="59" t="str">
        <x:v>Exit EBITDA multiple</x:v>
      </x:c>
      <x:c r="D18" s="12" t="n">
        <x:f>'Assumptions'!$D$134</x:f>
        <x:v>14</x:v>
      </x:c>
      <x:c r="E18" s="2"/>
      <x:c r="F18" s="2"/>
      <x:c r="G18" s="2"/>
      <x:c r="H18" s="2"/>
    </x:row>
    <x:row r="19" ht="21" customHeight="1">
      <x:c r="C19" s="59"/>
      <x:c r="D19" s="2"/>
      <x:c r="E19" s="2"/>
      <x:c r="F19" s="2"/>
      <x:c r="G19" s="2"/>
      <x:c r="H19" s="2"/>
    </x:row>
    <x:row r="20" ht="21" customHeight="1">
      <x:c r="C20" s="59"/>
      <x:c r="D20" s="2"/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 t="str">
        <x:v>EBITDA</x:v>
      </x:c>
      <x:c r="D22" s="12" t="n">
        <x:f>'Operating Forecast'!D19</x:f>
        <x:v>1896.7596060000005</x:v>
      </x:c>
      <x:c r="E22" s="12" t="n">
        <x:f>'Operating Forecast'!E19</x:f>
        <x:v>2041.930907772</x:v>
      </x:c>
      <x:c r="F22" s="12" t="n">
        <x:f>'Operating Forecast'!F19</x:f>
        <x:v>2199.8002387998004</x:v>
      </x:c>
      <x:c r="G22" s="12" t="n">
        <x:f>'Operating Forecast'!G19</x:f>
        <x:v>2371.652794840922</x:v>
      </x:c>
      <x:c r="H22" s="12" t="n">
        <x:f>'Operating Forecast'!H19</x:f>
        <x:v>2558.922128669308</x:v>
      </x:c>
    </x:row>
    <x:row r="23" ht="21" customHeight="1">
      <x:c r="C23" s="59" t="str">
        <x:v>EBIT</x:v>
      </x:c>
      <x:c r="D23" s="12" t="n">
        <x:f>'Operating Forecast'!D20</x:f>
        <x:v>1716.9961437087504</x:v>
      </x:c>
      <x:c r="E23" s="12" t="n">
        <x:f>'Operating Forecast'!E20</x:f>
        <x:v>1851.489669050605</x:v>
      </x:c>
      <x:c r="F23" s="12" t="n">
        <x:f>'Operating Forecast'!F20</x:f>
        <x:v>1997.7723747050777</x:v>
      </x:c>
      <x:c r="G23" s="12" t="n">
        <x:f>'Operating Forecast'!G20</x:f>
        <x:v>2157.045996190339</x:v>
      </x:c>
      <x:c r="H23" s="12" t="n">
        <x:f>'Operating Forecast'!H20</x:f>
        <x:v>2330.6511152711564</x:v>
      </x:c>
    </x:row>
    <x:row r="24" ht="21" customHeight="1">
      <x:c r="C24" s="59" t="str">
        <x:v>Opening debt</x:v>
      </x:c>
      <x:c r="D24" s="15" t="n">
        <x:f>$D$8</x:f>
        <x:v>5295.4619999999995</x:v>
      </x:c>
      <x:c r="E24" s="15" t="n">
        <x:f>D33</x:f>
        <x:v>4431.492511363083</x:v>
      </x:c>
      <x:c r="F24" s="15" t="n">
        <x:f>E33</x:f>
        <x:v>3476.5520996932582</x:v>
      </x:c>
      <x:c r="G24" s="15" t="n">
        <x:f>F33</x:f>
        <x:v>2373.3920386564278</x:v>
      </x:c>
      <x:c r="H24" s="15" t="n">
        <x:f>G33</x:f>
        <x:v>1105.3198961805706</x:v>
      </x:c>
    </x:row>
    <x:row r="25" ht="21" customHeight="1">
      <x:c r="C25" s="59" t="str">
        <x:v>Interest expense</x:v>
      </x:c>
      <x:c r="D25" s="12" t="n">
        <x:f>D24*'Assumptions'!D79</x:f>
        <x:v>397.15964999999994</x:v>
      </x:c>
      <x:c r="E25" s="12" t="n">
        <x:f>E24*'Assumptions'!E79</x:f>
        <x:v>332.3619383522312</x:v>
      </x:c>
      <x:c r="F25" s="12" t="n">
        <x:f>F24*'Assumptions'!F79</x:f>
        <x:v>260.74140747699437</x:v>
      </x:c>
      <x:c r="G25" s="12" t="n">
        <x:f>G24*'Assumptions'!G79</x:f>
        <x:v>178.00440289923208</x:v>
      </x:c>
      <x:c r="H25" s="12" t="n">
        <x:f>H24*'Assumptions'!H79</x:f>
        <x:v>82.8989922135428</x:v>
      </x:c>
    </x:row>
    <x:row r="26" ht="21" customHeight="1">
      <x:c r="C26" s="59" t="str">
        <x:v>Cash taxes</x:v>
      </x:c>
      <x:c r="D26" s="12" t="n">
        <x:f>MAX(0,D23-D25)*'Assumptions'!D74</x:f>
        <x:v>277.1656636788376</x:v>
      </x:c>
      <x:c r="E26" s="12" t="n">
        <x:f>MAX(0,E23-E25)*'Assumptions'!E74</x:f>
        <x:v>319.0168234466585</x:v>
      </x:c>
      <x:c r="F26" s="12" t="n">
        <x:f>MAX(0,F23-F25)*'Assumptions'!F74</x:f>
        <x:v>364.77650311789745</x:v>
      </x:c>
      <x:c r="G26" s="12" t="n">
        <x:f>MAX(0,G23-G25)*'Assumptions'!G74</x:f>
        <x:v>415.5987345911324</x:v>
      </x:c>
      <x:c r="H26" s="12" t="n">
        <x:f>MAX(0,H23-H25)*'Assumptions'!H74</x:f>
        <x:v>472.0279458420988</x:v>
      </x:c>
    </x:row>
    <x:row r="27" ht="21" customHeight="1">
      <x:c r="C27" s="59" t="str">
        <x:v>CapEx</x:v>
      </x:c>
      <x:c r="D27" s="12" t="n">
        <x:f>'Operating Forecast'!D15</x:f>
        <x:v>237.09495075000004</x:v>
      </x:c>
      <x:c r="E27" s="12" t="n">
        <x:f>'Operating Forecast'!E15</x:f>
        <x:v>255.24136347150002</x:v>
      </x:c>
      <x:c r="F27" s="12" t="n">
        <x:f>'Operating Forecast'!F15</x:f>
        <x:v>274.97502984997504</x:v>
      </x:c>
      <x:c r="G27" s="12" t="n">
        <x:f>'Operating Forecast'!G15</x:f>
        <x:v>296.45659935511526</x:v>
      </x:c>
      <x:c r="H27" s="12" t="n">
        <x:f>'Operating Forecast'!H15</x:f>
        <x:v>319.8652660836636</x:v>
      </x:c>
    </x:row>
    <x:row r="28" ht="21" customHeight="1">
      <x:c r="C28" s="59" t="str">
        <x:v>Change in NWC</x:v>
      </x:c>
      <x:c r="D28" s="12" t="n">
        <x:f>'Working Capital'!D12</x:f>
        <x:v>121.36985293424686</x:v>
      </x:c>
      <x:c r="E28" s="12" t="n">
        <x:f>'Working Capital'!E12</x:f>
        <x:v>180.3703708317853</x:v>
      </x:c>
      <x:c r="F28" s="12" t="n">
        <x:f>'Working Capital'!F12</x:f>
        <x:v>196.14723731810318</x:v>
      </x:c>
      <x:c r="G28" s="12" t="n">
        <x:f>'Working Capital'!G12</x:f>
        <x:v>213.5209155195853</x:v>
      </x:c>
      <x:c r="H28" s="12" t="n">
        <x:f>'Working Capital'!H12</x:f>
        <x:v>232.67573394841975</x:v>
      </x:c>
    </x:row>
    <x:row r="29" ht="21" customHeight="1">
      <x:c r="C29" s="59" t="str">
        <x:v>Cash available before debt paydown</x:v>
      </x:c>
      <x:c r="D29" s="15" t="n">
        <x:f>D22-D26-D27-D28-D25</x:f>
        <x:v>863.9694886369163</x:v>
      </x:c>
      <x:c r="E29" s="15" t="n">
        <x:f>E22-E26-E27-E28-E25</x:f>
        <x:v>954.9404116698249</x:v>
      </x:c>
      <x:c r="F29" s="15" t="n">
        <x:f>F22-F26-F27-F28-F25</x:f>
        <x:v>1103.1600610368305</x:v>
      </x:c>
      <x:c r="G29" s="15" t="n">
        <x:f>G22-G26-G27-G28-G25</x:f>
        <x:v>1268.0721424758572</x:v>
      </x:c>
      <x:c r="H29" s="15" t="n">
        <x:f>H22-H26-H27-H28-H25</x:f>
        <x:v>1451.4541905815834</x:v>
      </x:c>
    </x:row>
    <x:row r="30" ht="21" customHeight="1">
      <x:c r="C30" s="59" t="str">
        <x:v>Mandatory repayment</x:v>
      </x:c>
      <x:c r="D30" s="12" t="n">
        <x:f>MIN(D24,$D$8*'Assumptions'!D89)</x:f>
        <x:v>52.95462</x:v>
      </x:c>
      <x:c r="E30" s="12" t="n">
        <x:f>MIN(E24,$D$8*'Assumptions'!E89)</x:f>
        <x:v>52.95462</x:v>
      </x:c>
      <x:c r="F30" s="12" t="n">
        <x:f>MIN(F24,$D$8*'Assumptions'!F89)</x:f>
        <x:v>52.95462</x:v>
      </x:c>
      <x:c r="G30" s="12" t="n">
        <x:f>MIN(G24,$D$8*'Assumptions'!G89)</x:f>
        <x:v>52.95462</x:v>
      </x:c>
      <x:c r="H30" s="12" t="n">
        <x:f>MIN(H24,$D$8*'Assumptions'!H89)</x:f>
        <x:v>52.95462</x:v>
      </x:c>
    </x:row>
    <x:row r="31" ht="21" customHeight="1">
      <x:c r="C31" s="59" t="str">
        <x:v>Additional borrowing</x:v>
      </x:c>
      <x:c r="D31" s="12" t="n">
        <x:f>MAX(0,'Assumptions'!D94-D34-D29+D30)</x:f>
        <x:v>0</x:v>
      </x:c>
      <x:c r="E31" s="12" t="n">
        <x:f>MAX(0,'Assumptions'!E94-E34-E29+E30)</x:f>
        <x:v>0</x:v>
      </x:c>
      <x:c r="F31" s="12" t="n">
        <x:f>MAX(0,'Assumptions'!F94-F34-F29+F30)</x:f>
        <x:v>0</x:v>
      </x:c>
      <x:c r="G31" s="12" t="n">
        <x:f>MAX(0,'Assumptions'!G94-G34-G29+G30)</x:f>
        <x:v>0</x:v>
      </x:c>
      <x:c r="H31" s="12" t="n">
        <x:f>MAX(0,'Assumptions'!H94-H34-H29+H30)</x:f>
        <x:v>0</x:v>
      </x:c>
    </x:row>
    <x:row r="32" ht="21" customHeight="1">
      <x:c r="C32" s="59" t="str">
        <x:v>Optional repayment</x:v>
      </x:c>
      <x:c r="D32" s="12" t="n">
        <x:f>MIN(MAX(0,D24-D30),MAX(0,D34+D29-D30-'Assumptions'!D94))</x:f>
        <x:v>811.0148686369162</x:v>
      </x:c>
      <x:c r="E32" s="12" t="n">
        <x:f>MIN(MAX(0,E24-E30),MAX(0,E34+E29-E30-'Assumptions'!E94))</x:f>
        <x:v>901.985791669825</x:v>
      </x:c>
      <x:c r="F32" s="12" t="n">
        <x:f>MIN(MAX(0,F24-F30),MAX(0,F34+F29-F30-'Assumptions'!F94))</x:f>
        <x:v>1050.2054410368305</x:v>
      </x:c>
      <x:c r="G32" s="12" t="n">
        <x:f>MIN(MAX(0,G24-G30),MAX(0,G34+G29-G30-'Assumptions'!G94))</x:f>
        <x:v>1215.1175224758572</x:v>
      </x:c>
      <x:c r="H32" s="12" t="n">
        <x:f>MIN(MAX(0,H24-H30),MAX(0,H34+H29-H30-'Assumptions'!H94))</x:f>
        <x:v>1052.3652761805706</x:v>
      </x:c>
    </x:row>
    <x:row r="33" ht="21" customHeight="1">
      <x:c r="C33" s="61" t="str">
        <x:v>Closing debt</x:v>
      </x:c>
      <x:c r="D33" s="50" t="n">
        <x:f>D24+D31-D30-D32</x:f>
        <x:v>4431.492511363083</x:v>
      </x:c>
      <x:c r="E33" s="50" t="n">
        <x:f>E24+E31-E30-E32</x:f>
        <x:v>3476.5520996932582</x:v>
      </x:c>
      <x:c r="F33" s="50" t="n">
        <x:f>F24+F31-F30-F32</x:f>
        <x:v>2373.3920386564278</x:v>
      </x:c>
      <x:c r="G33" s="50" t="n">
        <x:f>G24+G31-G30-G32</x:f>
        <x:v>1105.3198961805706</x:v>
      </x:c>
      <x:c r="H33" s="50" t="n">
        <x:f>H24+H31-H30-H32</x:f>
        <x:v>0</x:v>
      </x:c>
    </x:row>
    <x:row r="34" ht="21" customHeight="1">
      <x:c r="C34" s="59" t="str">
        <x:v>Opening cash</x:v>
      </x:c>
      <x:c r="D34" s="15" t="n">
        <x:f>$D$12</x:f>
        <x:v>300</x:v>
      </x:c>
      <x:c r="E34" s="15" t="n">
        <x:f>D35</x:f>
        <x:v>300</x:v>
      </x:c>
      <x:c r="F34" s="15" t="n">
        <x:f>E35</x:f>
        <x:v>300</x:v>
      </x:c>
      <x:c r="G34" s="15" t="n">
        <x:f>F35</x:f>
        <x:v>300</x:v>
      </x:c>
      <x:c r="H34" s="15" t="n">
        <x:f>G35</x:f>
        <x:v>300</x:v>
      </x:c>
    </x:row>
    <x:row r="35" ht="21" customHeight="1">
      <x:c r="C35" s="59" t="str">
        <x:v>Closing cash</x:v>
      </x:c>
      <x:c r="D35" s="15" t="n">
        <x:f>D34+D29+D31-D30-D32</x:f>
        <x:v>300</x:v>
      </x:c>
      <x:c r="E35" s="15" t="n">
        <x:f>E34+E29+E31-E30-E32</x:f>
        <x:v>300</x:v>
      </x:c>
      <x:c r="F35" s="15" t="n">
        <x:f>F34+F29+F31-F30-F32</x:f>
        <x:v>300</x:v>
      </x:c>
      <x:c r="G35" s="15" t="n">
        <x:f>G34+G29+G31-G30-G32</x:f>
        <x:v>300</x:v>
      </x:c>
      <x:c r="H35" s="15" t="n">
        <x:f>H34+H29+H31-H30-H32</x:f>
        <x:v>646.1342944010128</x:v>
      </x:c>
    </x:row>
    <x:row r="36" ht="21" customHeight="1">
      <x:c r="C36" s="59" t="str">
        <x:v>EBIT / interest</x:v>
      </x:c>
      <x:c r="D36" s="15" t="n">
        <x:f>IF(D25=0,"No debt",D23/D25)</x:f>
        <x:v>4.3231887824172235</x:v>
      </x:c>
      <x:c r="E36" s="15" t="n">
        <x:f>IF(E25=0,"No debt",E23/E25)</x:f>
        <x:v>5.570703066150823</x:v>
      </x:c>
      <x:c r="F36" s="15" t="n">
        <x:f>IF(F25=0,"No debt",F23/F25)</x:f>
        <x:v>7.661891504061718</x:v>
      </x:c>
      <x:c r="G36" s="15" t="n">
        <x:f>IF(G25=0,"No debt",G23/G25)</x:f>
        <x:v>12.117936191788683</x:v>
      </x:c>
      <x:c r="H36" s="15" t="n">
        <x:f>IF(H25=0,"No debt",H23/H25)</x:f>
        <x:v>28.114347991921782</x:v>
      </x:c>
    </x:row>
    <x:row r="37" ht="21" customHeight="1">
      <x:c r="C37" s="59" t="str">
        <x:v>Debt / EBITDA</x:v>
      </x:c>
      <x:c r="D37" s="15" t="n">
        <x:f>IF(D22&gt;0,D33/D22,NA())</x:f>
        <x:v>2.33634905411576</x:v>
      </x:c>
      <x:c r="E37" s="15" t="n">
        <x:f>IF(E22&gt;0,E33/E22,NA())</x:f>
        <x:v>1.702580673254321</x:v>
      </x:c>
      <x:c r="F37" s="15" t="n">
        <x:f>IF(F22&gt;0,F33/F22,NA())</x:f>
        <x:v>1.0789125288718662</x:v>
      </x:c>
      <x:c r="G37" s="15" t="n">
        <x:f>IF(G22&gt;0,G33/G22,NA())</x:f>
        <x:v>0.4660546849795986</x:v>
      </x:c>
      <x:c r="H37" s="15" t="n">
        <x:f>IF(H22&gt;0,H33/H22,NA())</x:f>
        <x:v>0</x:v>
      </x:c>
    </x:row>
    <x:row r="38" ht="21" customHeight="1">
      <x:c r="C38" s="59" t="str">
        <x:v>Debt roll-forward residual</x:v>
      </x:c>
      <x:c r="D38" s="15" t="n">
        <x:f>D24+D31-D30-D32-D33</x:f>
        <x:v>0</x:v>
      </x:c>
      <x:c r="E38" s="15" t="n">
        <x:f>E24+E31-E30-E32-E33</x:f>
        <x:v>0</x:v>
      </x:c>
      <x:c r="F38" s="15" t="n">
        <x:f>F24+F31-F30-F32-F33</x:f>
        <x:v>0</x:v>
      </x:c>
      <x:c r="G38" s="15" t="n">
        <x:f>G24+G31-G30-G32-G33</x:f>
        <x:v>0</x:v>
      </x:c>
      <x:c r="H38" s="15" t="n">
        <x:f>H24+H31-H30-H32-H33</x:f>
        <x:v>0</x:v>
      </x:c>
    </x:row>
    <x:row r="39" ht="21" customHeight="1">
      <x:c r="C39" s="59" t="str">
        <x:v>Cash roll-forward residual</x:v>
      </x:c>
      <x:c r="D39" s="15" t="n">
        <x:f>D34+D29+D31-D30-D32-D35</x:f>
        <x:v>0</x:v>
      </x:c>
      <x:c r="E39" s="15" t="n">
        <x:f>E34+E29+E31-E30-E32-E35</x:f>
        <x:v>0</x:v>
      </x:c>
      <x:c r="F39" s="15" t="n">
        <x:f>F34+F29+F31-F30-F32-F35</x:f>
        <x:v>0</x:v>
      </x:c>
      <x:c r="G39" s="15" t="n">
        <x:f>G34+G29+G31-G30-G32-G35</x:f>
        <x:v>0</x:v>
      </x:c>
      <x:c r="H39" s="15" t="n">
        <x:f>H34+H29+H31-H30-H32-H35</x:f>
        <x:v>0</x:v>
      </x:c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 t="str">
        <x:v>Exit enterprise value</x:v>
      </x:c>
      <x:c r="D42" s="15" t="n">
        <x:f>H22*D18</x:f>
        <x:v>35824.90980137032</x:v>
      </x:c>
      <x:c r="E42" s="2"/>
      <x:c r="F42" s="2"/>
      <x:c r="G42" s="2"/>
      <x:c r="H42" s="2"/>
    </x:row>
    <x:row r="43" ht="21" customHeight="1">
      <x:c r="C43" s="61" t="str">
        <x:v>Exit equity value</x:v>
      </x:c>
      <x:c r="D43" s="50" t="n">
        <x:f>MAX(0,D42-H33+H35)</x:f>
        <x:v>36471.04409577133</x:v>
      </x:c>
      <x:c r="E43" s="54"/>
      <x:c r="F43" s="54"/>
      <x:c r="G43" s="54"/>
      <x:c r="H43" s="54"/>
    </x:row>
    <x:row r="44" ht="21" customHeight="1">
      <x:c r="C44" s="59" t="str">
        <x:v>Sponsor MOIC</x:v>
      </x:c>
      <x:c r="D44" s="37" t="n">
        <x:f>D43/D15</x:f>
        <x:v>1.6489823994462194</x:v>
      </x:c>
      <x:c r="E44" s="2"/>
      <x:c r="F44" s="2"/>
      <x:c r="G44" s="2"/>
      <x:c r="H44" s="2"/>
    </x:row>
    <x:row r="45" ht="21" customHeight="1">
      <x:c r="C45" s="61" t="str">
        <x:v>Sponsor IRR</x:v>
      </x:c>
      <x:c r="D45" s="58" t="n">
        <x:f>D44^(1/5)-1</x:f>
        <x:v>0.10520592382461769</x:v>
      </x:c>
      <x:c r="E45" s="54"/>
      <x:c r="F45" s="54"/>
      <x:c r="G45" s="54"/>
      <x:c r="H45" s="54"/>
    </x:row>
    <x:row r="46" ht="21" customHeight="1">
      <x:c r="C46" s="59" t="str">
        <x:v>Target IRR</x:v>
      </x:c>
      <x:c r="D46" s="24" t="n">
        <x:f>'Assumptions'!$D$133</x:f>
        <x:v>0.2</x:v>
      </x:c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Sensitivities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" t="str">
        <x:v>WACC / growth: implied USD per share</x:v>
      </x:c>
      <x:c r="D5" s="1"/>
      <x:c r="E5" s="1"/>
      <x:c r="F5" s="1"/>
      <x:c r="G5" s="1"/>
      <x:c r="H5" s="1"/>
    </x:row>
    <x:row r="6" ht="21" customHeight="1">
      <x:c r="C6" s="59"/>
      <x:c r="D6" s="22" t="n">
        <x:v>0.01</x:v>
      </x:c>
      <x:c r="E6" s="22" t="n">
        <x:v>0.02</x:v>
      </x:c>
      <x:c r="F6" s="22" t="n">
        <x:v>0.025</x:v>
      </x:c>
      <x:c r="G6" s="22" t="n">
        <x:v>0.03</x:v>
      </x:c>
      <x:c r="H6" s="22" t="n">
        <x:v>0.035</x:v>
      </x:c>
    </x:row>
    <x:row r="7" ht="21" customHeight="1">
      <x:c r="C7" s="62" t="n">
        <x:v>0.07</x:v>
      </x:c>
      <x:c r="D7" s="15" t="n">
        <x:f>IF($C7&gt;D$6,('DCF'!D11/(1+$C7)^1+'DCF'!E11/(1+$C7)^2+'DCF'!F11/(1+$C7)^3+'DCF'!G11/(1+$C7)^4+'DCF'!H11/(1+$C7)^5+'DCF'!H11*(1+D$6)/($C7-D$6)/(1+$C7)^5-'DCF'!$D$20)/'DCF'!$D$22,NA())</x:f>
        <x:v>141.81230811137428</x:v>
      </x:c>
      <x:c r="E7" s="15" t="n">
        <x:f>IF($C7&gt;E$6,('DCF'!D11/(1+$C7)^1+'DCF'!E11/(1+$C7)^2+'DCF'!F11/(1+$C7)^3+'DCF'!G11/(1+$C7)^4+'DCF'!H11/(1+$C7)^5+'DCF'!H11*(1+E$6)/($C7-E$6)/(1+$C7)^5-'DCF'!$D$20)/'DCF'!$D$22,NA())</x:f>
        <x:v>161.85494057414203</x:v>
      </x:c>
      <x:c r="F7" s="15" t="n">
        <x:f>IF($C7&gt;F$6,('DCF'!D11/(1+$C7)^1+'DCF'!E11/(1+$C7)^2+'DCF'!F11/(1+$C7)^3+'DCF'!G11/(1+$C7)^4+'DCF'!H11/(1+$C7)^5+'DCF'!H11*(1+F$6)/($C7-F$6)/(1+$C7)^5-'DCF'!$D$20)/'DCF'!$D$22,NA())</x:f>
        <x:v>175.2166955493205</x:v>
      </x:c>
      <x:c r="G7" s="15" t="n">
        <x:f>IF($C7&gt;G$6,('DCF'!D11/(1+$C7)^1+'DCF'!E11/(1+$C7)^2+'DCF'!F11/(1+$C7)^3+'DCF'!G11/(1+$C7)^4+'DCF'!H11/(1+$C7)^5+'DCF'!H11*(1+G$6)/($C7-G$6)/(1+$C7)^5-'DCF'!$D$20)/'DCF'!$D$22,NA())</x:f>
        <x:v>191.91888926829364</x:v>
      </x:c>
      <x:c r="H7" s="15" t="n">
        <x:f>IF($C7&gt;H$6,('DCF'!D11/(1+$C7)^1+'DCF'!E11/(1+$C7)^2+'DCF'!F11/(1+$C7)^3+'DCF'!G11/(1+$C7)^4+'DCF'!H11/(1+$C7)^5+'DCF'!H11*(1+H$6)/($C7-H$6)/(1+$C7)^5-'DCF'!$D$20)/'DCF'!$D$22,NA())</x:f>
        <x:v>213.39313833554482</x:v>
      </x:c>
    </x:row>
    <x:row r="8" ht="21" customHeight="1">
      <x:c r="C8" s="62" t="n">
        <x:v>0.08</x:v>
      </x:c>
      <x:c r="D8" s="15" t="n">
        <x:f>IF($C8&gt;D$6,('DCF'!D11/(1+$C8)^1+'DCF'!E11/(1+$C8)^2+'DCF'!F11/(1+$C8)^3+'DCF'!G11/(1+$C8)^4+'DCF'!H11/(1+$C8)^5+'DCF'!H11*(1+D$6)/($C8-D$6)/(1+$C8)^5-'DCF'!$D$20)/'DCF'!$D$22,NA())</x:f>
        <x:v>123.84713125178965</x:v>
      </x:c>
      <x:c r="E8" s="15" t="n">
        <x:f>IF($C8&gt;E$6,('DCF'!D11/(1+$C8)^1+'DCF'!E11/(1+$C8)^2+'DCF'!F11/(1+$C8)^3+'DCF'!G11/(1+$C8)^4+'DCF'!H11/(1+$C8)^5+'DCF'!H11*(1+E$6)/($C8-E$6)/(1+$C8)^5-'DCF'!$D$20)/'DCF'!$D$22,NA())</x:f>
        <x:v>137.64038785422915</x:v>
      </x:c>
      <x:c r="F8" s="15" t="n">
        <x:f>IF($C8&gt;F$6,('DCF'!D11/(1+$C8)^1+'DCF'!E11/(1+$C8)^2+'DCF'!F11/(1+$C8)^3+'DCF'!G11/(1+$C8)^4+'DCF'!H11/(1+$C8)^5+'DCF'!H11*(1+F$6)/($C8-F$6)/(1+$C8)^5-'DCF'!$D$20)/'DCF'!$D$22,NA())</x:f>
        <x:v>146.41791478305424</x:v>
      </x:c>
      <x:c r="G8" s="15" t="n">
        <x:f>IF($C8&gt;G$6,('DCF'!D11/(1+$C8)^1+'DCF'!E11/(1+$C8)^2+'DCF'!F11/(1+$C8)^3+'DCF'!G11/(1+$C8)^4+'DCF'!H11/(1+$C8)^5+'DCF'!H11*(1+G$6)/($C8-G$6)/(1+$C8)^5-'DCF'!$D$20)/'DCF'!$D$22,NA())</x:f>
        <x:v>156.9509470976444</x:v>
      </x:c>
      <x:c r="H8" s="15" t="n">
        <x:f>IF($C8&gt;H$6,('DCF'!D11/(1+$C8)^1+'DCF'!E11/(1+$C8)^2+'DCF'!F11/(1+$C8)^3+'DCF'!G11/(1+$C8)^4+'DCF'!H11/(1+$C8)^5+'DCF'!H11*(1+H$6)/($C8-H$6)/(1+$C8)^5-'DCF'!$D$20)/'DCF'!$D$22,NA())</x:f>
        <x:v>169.82465325992126</x:v>
      </x:c>
    </x:row>
    <x:row r="9" ht="21" customHeight="1">
      <x:c r="C9" s="62" t="n">
        <x:v>0.09</x:v>
      </x:c>
      <x:c r="D9" s="15" t="n">
        <x:f>IF($C9&gt;D$6,('DCF'!D11/(1+$C9)^1+'DCF'!E11/(1+$C9)^2+'DCF'!F11/(1+$C9)^3+'DCF'!G11/(1+$C9)^4+'DCF'!H11/(1+$C9)^5+'DCF'!H11*(1+D$6)/($C9-D$6)/(1+$C9)^5-'DCF'!$D$20)/'DCF'!$D$22,NA())</x:f>
        <x:v>110.38811041226762</x:v>
      </x:c>
      <x:c r="E9" s="15" t="n">
        <x:f>IF($C9&gt;E$6,('DCF'!D11/(1+$C9)^1+'DCF'!E11/(1+$C9)^2+'DCF'!F11/(1+$C9)^3+'DCF'!G11/(1+$C9)^4+'DCF'!H11/(1+$C9)^5+'DCF'!H11*(1+E$6)/($C9-E$6)/(1+$C9)^5-'DCF'!$D$20)/'DCF'!$D$22,NA())</x:f>
        <x:v>120.35861434760122</x:v>
      </x:c>
      <x:c r="F9" s="15" t="n">
        <x:f>IF($C9&gt;F$6,('DCF'!D11/(1+$C9)^1+'DCF'!E11/(1+$C9)^2+'DCF'!F11/(1+$C9)^3+'DCF'!G11/(1+$C9)^4+'DCF'!H11/(1+$C9)^5+'DCF'!H11*(1+F$6)/($C9-F$6)/(1+$C9)^5-'DCF'!$D$20)/'DCF'!$D$22,NA())</x:f>
        <x:v>126.49430907703724</x:v>
      </x:c>
      <x:c r="G9" s="15" t="n">
        <x:f>IF($C9&gt;G$6,('DCF'!D11/(1+$C9)^1+'DCF'!E11/(1+$C9)^2+'DCF'!F11/(1+$C9)^3+'DCF'!G11/(1+$C9)^4+'DCF'!H11/(1+$C9)^5+'DCF'!H11*(1+G$6)/($C9-G$6)/(1+$C9)^5-'DCF'!$D$20)/'DCF'!$D$22,NA())</x:f>
        <x:v>133.65261959471266</x:v>
      </x:c>
      <x:c r="H9" s="15" t="n">
        <x:f>IF($C9&gt;H$6,('DCF'!D11/(1+$C9)^1+'DCF'!E11/(1+$C9)^2+'DCF'!F11/(1+$C9)^3+'DCF'!G11/(1+$C9)^4+'DCF'!H11/(1+$C9)^5+'DCF'!H11*(1+H$6)/($C9-H$6)/(1+$C9)^5-'DCF'!$D$20)/'DCF'!$D$22,NA())</x:f>
        <x:v>142.11244111560177</x:v>
      </x:c>
    </x:row>
    <x:row r="10" ht="21" customHeight="1">
      <x:c r="C10" s="62" t="n">
        <x:v>0.1</x:v>
      </x:c>
      <x:c r="D10" s="15" t="n">
        <x:f>IF($C10&gt;D$6,('DCF'!D11/(1+$C10)^1+'DCF'!E11/(1+$C10)^2+'DCF'!F11/(1+$C10)^3+'DCF'!G11/(1+$C10)^4+'DCF'!H11/(1+$C10)^5+'DCF'!H11*(1+D$6)/($C10-D$6)/(1+$C10)^5-'DCF'!$D$20)/'DCF'!$D$22,NA())</x:f>
        <x:v>99.93256097205243</x:v>
      </x:c>
      <x:c r="E10" s="15" t="n">
        <x:f>IF($C10&gt;E$6,('DCF'!D11/(1+$C10)^1+'DCF'!E11/(1+$C10)^2+'DCF'!F11/(1+$C10)^3+'DCF'!G11/(1+$C10)^4+'DCF'!H11/(1+$C10)^5+'DCF'!H11*(1+E$6)/($C10-E$6)/(1+$C10)^5-'DCF'!$D$20)/'DCF'!$D$22,NA())</x:f>
        <x:v>107.40922543659617</x:v>
      </x:c>
      <x:c r="F10" s="15" t="n">
        <x:f>IF($C10&gt;F$6,('DCF'!D11/(1+$C10)^1+'DCF'!E11/(1+$C10)^2+'DCF'!F11/(1+$C10)^3+'DCF'!G11/(1+$C10)^4+'DCF'!H11/(1+$C10)^5+'DCF'!H11*(1+F$6)/($C10-F$6)/(1+$C10)^5-'DCF'!$D$20)/'DCF'!$D$22,NA())</x:f>
        <x:v>111.8952241153224</x:v>
      </x:c>
      <x:c r="G10" s="15" t="n">
        <x:f>IF($C10&gt;G$6,('DCF'!D11/(1+$C10)^1+'DCF'!E11/(1+$C10)^2+'DCF'!F11/(1+$C10)^3+'DCF'!G11/(1+$C10)^4+'DCF'!H11/(1+$C10)^5+'DCF'!H11*(1+G$6)/($C10-G$6)/(1+$C10)^5-'DCF'!$D$20)/'DCF'!$D$22,NA())</x:f>
        <x:v>117.02207974815244</x:v>
      </x:c>
      <x:c r="H10" s="15" t="n">
        <x:f>IF($C10&gt;H$6,('DCF'!D11/(1+$C10)^1+'DCF'!E11/(1+$C10)^2+'DCF'!F11/(1+$C10)^3+'DCF'!G11/(1+$C10)^4+'DCF'!H11/(1+$C10)^5+'DCF'!H11*(1+H$6)/($C10-H$6)/(1+$C10)^5-'DCF'!$D$20)/'DCF'!$D$22,NA())</x:f>
        <x:v>122.93768240141782</x:v>
      </x:c>
    </x:row>
    <x:row r="11" ht="21" customHeight="1">
      <x:c r="C11" s="62" t="n">
        <x:v>0.11</x:v>
      </x:c>
      <x:c r="D11" s="15" t="n">
        <x:f>IF($C11&gt;D$6,('DCF'!D11/(1+$C11)^1+'DCF'!E11/(1+$C11)^2+'DCF'!F11/(1+$C11)^3+'DCF'!G11/(1+$C11)^4+'DCF'!H11/(1+$C11)^5+'DCF'!H11*(1+D$6)/($C11-D$6)/(1+$C11)^5-'DCF'!$D$20)/'DCF'!$D$22,NA())</x:f>
        <x:v>91.57890484034091</x:v>
      </x:c>
      <x:c r="E11" s="15" t="n">
        <x:f>IF($C11&gt;E$6,('DCF'!D11/(1+$C11)^1+'DCF'!E11/(1+$C11)^2+'DCF'!F11/(1+$C11)^3+'DCF'!G11/(1+$C11)^4+'DCF'!H11/(1+$C11)^5+'DCF'!H11*(1+E$6)/($C11-E$6)/(1+$C11)^5-'DCF'!$D$20)/'DCF'!$D$22,NA())</x:f>
        <x:v>97.34758822705601</x:v>
      </x:c>
      <x:c r="F11" s="15" t="n">
        <x:f>IF($C11&gt;F$6,('DCF'!D11/(1+$C11)^1+'DCF'!E11/(1+$C11)^2+'DCF'!F11/(1+$C11)^3+'DCF'!G11/(1+$C11)^4+'DCF'!H11/(1+$C11)^5+'DCF'!H11*(1+F$6)/($C11-F$6)/(1+$C11)^5-'DCF'!$D$20)/'DCF'!$D$22,NA())</x:f>
        <x:v>100.74093139571198</x:v>
      </x:c>
      <x:c r="G11" s="15" t="n">
        <x:f>IF($C11&gt;G$6,('DCF'!D11/(1+$C11)^1+'DCF'!E11/(1+$C11)^2+'DCF'!F11/(1+$C11)^3+'DCF'!G11/(1+$C11)^4+'DCF'!H11/(1+$C11)^5+'DCF'!H11*(1+G$6)/($C11-G$6)/(1+$C11)^5-'DCF'!$D$20)/'DCF'!$D$22,NA())</x:f>
        <x:v>104.55844246044991</x:v>
      </x:c>
      <x:c r="H11" s="15" t="n">
        <x:f>IF($C11&gt;H$6,('DCF'!D11/(1+$C11)^1+'DCF'!E11/(1+$C11)^2+'DCF'!F11/(1+$C11)^3+'DCF'!G11/(1+$C11)^4+'DCF'!H11/(1+$C11)^5+'DCF'!H11*(1+H$6)/($C11-H$6)/(1+$C11)^5-'DCF'!$D$20)/'DCF'!$D$22,NA())</x:f>
        <x:v>108.88495500048627</x:v>
      </x:c>
    </x:row>
    <x:row r="12" ht="21" customHeight="1">
      <x:c r="C12" s="59"/>
      <x:c r="D12" s="2"/>
      <x:c r="E12" s="2"/>
      <x:c r="F12" s="2"/>
      <x:c r="G12" s="2"/>
      <x:c r="H12" s="2"/>
    </x:row>
    <x:row r="13" ht="21" customHeight="1">
      <x:c r="C13" s="59"/>
      <x:c r="D13" s="2"/>
      <x:c r="E13" s="2"/>
      <x:c r="F13" s="2"/>
      <x:c r="G13" s="2"/>
      <x:c r="H13" s="2"/>
    </x:row>
    <x:row r="14" ht="21" customHeight="1">
      <x:c r="C14" s="59"/>
      <x:c r="D14" s="2"/>
      <x:c r="E14" s="2"/>
      <x:c r="F14" s="2"/>
      <x:c r="G14" s="2"/>
      <x:c r="H14" s="2"/>
    </x:row>
    <x:row r="15" ht="21" customHeight="1">
      <x:c r="C15" s="59" t="str">
        <x:v>WACC / exit multiple: enterprise value</x:v>
      </x:c>
      <x:c r="D15" s="2"/>
      <x:c r="E15" s="2"/>
      <x:c r="F15" s="2"/>
      <x:c r="G15" s="2"/>
      <x:c r="H15" s="2"/>
    </x:row>
    <x:row r="16" ht="21" customHeight="1">
      <x:c r="C16" s="59"/>
      <x:c r="D16" s="16" t="n">
        <x:v>10</x:v>
      </x:c>
      <x:c r="E16" s="16" t="n">
        <x:v>12</x:v>
      </x:c>
      <x:c r="F16" s="16" t="n">
        <x:v>14</x:v>
      </x:c>
      <x:c r="G16" s="16" t="n">
        <x:v>16</x:v>
      </x:c>
      <x:c r="H16" s="16" t="n">
        <x:v>18</x:v>
      </x:c>
    </x:row>
    <x:row r="17" ht="21" customHeight="1">
      <x:c r="C17" s="62" t="n">
        <x:v>0.07</x:v>
      </x:c>
      <x:c r="D17" s="15" t="n">
        <x:f>'DCF'!D11/(1+$C17)^1+'DCF'!E11/(1+$C17)^2+'DCF'!F11/(1+$C17)^3+'DCF'!G11/(1+$C17)^4+'DCF'!H11/(1+$C17)^5+'Operating Forecast'!H19*D$16/(1+$C17)^5</x:f>
        <x:v>23633.756902795547</x:v>
      </x:c>
      <x:c r="E17" s="15" t="n">
        <x:f>'DCF'!D11/(1+$C17)^1+'DCF'!E11/(1+$C17)^2+'DCF'!F11/(1+$C17)^3+'DCF'!G11/(1+$C17)^4+'DCF'!H11/(1+$C17)^5+'Operating Forecast'!H19*E$16/(1+$C17)^5</x:f>
        <x:v>27282.70912702784</x:v>
      </x:c>
      <x:c r="F17" s="15" t="n">
        <x:f>'DCF'!D11/(1+$C17)^1+'DCF'!E11/(1+$C17)^2+'DCF'!F11/(1+$C17)^3+'DCF'!G11/(1+$C17)^4+'DCF'!H11/(1+$C17)^5+'Operating Forecast'!H19*F$16/(1+$C17)^5</x:f>
        <x:v>30931.661351260133</x:v>
      </x:c>
      <x:c r="G17" s="15" t="n">
        <x:f>'DCF'!D11/(1+$C17)^1+'DCF'!E11/(1+$C17)^2+'DCF'!F11/(1+$C17)^3+'DCF'!G11/(1+$C17)^4+'DCF'!H11/(1+$C17)^5+'Operating Forecast'!H19*G$16/(1+$C17)^5</x:f>
        <x:v>34580.61357549242</x:v>
      </x:c>
      <x:c r="H17" s="15" t="n">
        <x:f>'DCF'!D11/(1+$C17)^1+'DCF'!E11/(1+$C17)^2+'DCF'!F11/(1+$C17)^3+'DCF'!G11/(1+$C17)^4+'DCF'!H11/(1+$C17)^5+'Operating Forecast'!H19*H$16/(1+$C17)^5</x:f>
        <x:v>38229.56579972471</x:v>
      </x:c>
    </x:row>
    <x:row r="18" ht="21" customHeight="1">
      <x:c r="C18" s="62" t="n">
        <x:v>0.08</x:v>
      </x:c>
      <x:c r="D18" s="15" t="n">
        <x:f>'DCF'!D11/(1+$C18)^1+'DCF'!E11/(1+$C18)^2+'DCF'!F11/(1+$C18)^3+'DCF'!G11/(1+$C18)^4+'DCF'!H11/(1+$C18)^5+'Operating Forecast'!H19*D$16/(1+$C18)^5</x:f>
        <x:v>22656.978485805055</x:v>
      </x:c>
      <x:c r="E18" s="15" t="n">
        <x:f>'DCF'!D11/(1+$C18)^1+'DCF'!E11/(1+$C18)^2+'DCF'!F11/(1+$C18)^3+'DCF'!G11/(1+$C18)^4+'DCF'!H11/(1+$C18)^5+'Operating Forecast'!H19*E$16/(1+$C18)^5</x:f>
        <x:v>26140.097292385402</x:v>
      </x:c>
      <x:c r="F18" s="15" t="n">
        <x:f>'DCF'!D11/(1+$C18)^1+'DCF'!E11/(1+$C18)^2+'DCF'!F11/(1+$C18)^3+'DCF'!G11/(1+$C18)^4+'DCF'!H11/(1+$C18)^5+'Operating Forecast'!H19*F$16/(1+$C18)^5</x:f>
        <x:v>29623.216098965753</x:v>
      </x:c>
      <x:c r="G18" s="15" t="n">
        <x:f>'DCF'!D11/(1+$C18)^1+'DCF'!E11/(1+$C18)^2+'DCF'!F11/(1+$C18)^3+'DCF'!G11/(1+$C18)^4+'DCF'!H11/(1+$C18)^5+'Operating Forecast'!H19*G$16/(1+$C18)^5</x:f>
        <x:v>33106.3349055461</x:v>
      </x:c>
      <x:c r="H18" s="15" t="n">
        <x:f>'DCF'!D11/(1+$C18)^1+'DCF'!E11/(1+$C18)^2+'DCF'!F11/(1+$C18)^3+'DCF'!G11/(1+$C18)^4+'DCF'!H11/(1+$C18)^5+'Operating Forecast'!H19*H$16/(1+$C18)^5</x:f>
        <x:v>36589.453712126444</x:v>
      </x:c>
    </x:row>
    <x:row r="19" ht="21" customHeight="1">
      <x:c r="C19" s="62" t="n">
        <x:v>0.09</x:v>
      </x:c>
      <x:c r="D19" s="15" t="n">
        <x:f>'DCF'!D11/(1+$C19)^1+'DCF'!E11/(1+$C19)^2+'DCF'!F11/(1+$C19)^3+'DCF'!G11/(1+$C19)^4+'DCF'!H11/(1+$C19)^5+'Operating Forecast'!H19*D$16/(1+$C19)^5</x:f>
        <x:v>21731.237013212973</x:v>
      </x:c>
      <x:c r="E19" s="15" t="n">
        <x:f>'DCF'!D11/(1+$C19)^1+'DCF'!E11/(1+$C19)^2+'DCF'!F11/(1+$C19)^3+'DCF'!G11/(1+$C19)^4+'DCF'!H11/(1+$C19)^5+'Operating Forecast'!H19*E$16/(1+$C19)^5</x:f>
        <x:v>25057.484626244084</x:v>
      </x:c>
      <x:c r="F19" s="15" t="n">
        <x:f>'DCF'!D11/(1+$C19)^1+'DCF'!E11/(1+$C19)^2+'DCF'!F11/(1+$C19)^3+'DCF'!G11/(1+$C19)^4+'DCF'!H11/(1+$C19)^5+'Operating Forecast'!H19*F$16/(1+$C19)^5</x:f>
        <x:v>28383.7322392752</x:v>
      </x:c>
      <x:c r="G19" s="15" t="n">
        <x:f>'DCF'!D11/(1+$C19)^1+'DCF'!E11/(1+$C19)^2+'DCF'!F11/(1+$C19)^3+'DCF'!G11/(1+$C19)^4+'DCF'!H11/(1+$C19)^5+'Operating Forecast'!H19*G$16/(1+$C19)^5</x:f>
        <x:v>31709.97985230631</x:v>
      </x:c>
      <x:c r="H19" s="15" t="n">
        <x:f>'DCF'!D11/(1+$C19)^1+'DCF'!E11/(1+$C19)^2+'DCF'!F11/(1+$C19)^3+'DCF'!G11/(1+$C19)^4+'DCF'!H11/(1+$C19)^5+'Operating Forecast'!H19*H$16/(1+$C19)^5</x:f>
        <x:v>35036.22746533742</x:v>
      </x:c>
    </x:row>
    <x:row r="20" ht="21" customHeight="1">
      <x:c r="C20" s="62" t="n">
        <x:v>0.1</x:v>
      </x:c>
      <x:c r="D20" s="15" t="n">
        <x:f>'DCF'!D11/(1+$C20)^1+'DCF'!E11/(1+$C20)^2+'DCF'!F11/(1+$C20)^3+'DCF'!G11/(1+$C20)^4+'DCF'!H11/(1+$C20)^5+'Operating Forecast'!H19*D$16/(1+$C20)^5</x:f>
        <x:v>20853.398153658305</x:v>
      </x:c>
      <x:c r="E20" s="15" t="n">
        <x:f>'DCF'!D11/(1+$C20)^1+'DCF'!E11/(1+$C20)^2+'DCF'!F11/(1+$C20)^3+'DCF'!G11/(1+$C20)^4+'DCF'!H11/(1+$C20)^5+'Operating Forecast'!H19*E$16/(1+$C20)^5</x:f>
        <x:v>24031.1767811357</x:v>
      </x:c>
      <x:c r="F20" s="15" t="n">
        <x:f>'DCF'!D11/(1+$C20)^1+'DCF'!E11/(1+$C20)^2+'DCF'!F11/(1+$C20)^3+'DCF'!G11/(1+$C20)^4+'DCF'!H11/(1+$C20)^5+'Operating Forecast'!H19*F$16/(1+$C20)^5</x:f>
        <x:v>27208.955408613092</x:v>
      </x:c>
      <x:c r="G20" s="15" t="n">
        <x:f>'DCF'!D11/(1+$C20)^1+'DCF'!E11/(1+$C20)^2+'DCF'!F11/(1+$C20)^3+'DCF'!G11/(1+$C20)^4+'DCF'!H11/(1+$C20)^5+'Operating Forecast'!H19*G$16/(1+$C20)^5</x:f>
        <x:v>30386.734036090482</x:v>
      </x:c>
      <x:c r="H20" s="15" t="n">
        <x:f>'DCF'!D11/(1+$C20)^1+'DCF'!E11/(1+$C20)^2+'DCF'!F11/(1+$C20)^3+'DCF'!G11/(1+$C20)^4+'DCF'!H11/(1+$C20)^5+'Operating Forecast'!H19*H$16/(1+$C20)^5</x:f>
        <x:v>33564.51266356787</x:v>
      </x:c>
    </x:row>
    <x:row r="21" ht="21" customHeight="1">
      <x:c r="C21" s="62" t="n">
        <x:v>0.11</x:v>
      </x:c>
      <x:c r="D21" s="15" t="n">
        <x:f>'DCF'!D11/(1+$C21)^1+'DCF'!E11/(1+$C21)^2+'DCF'!F11/(1+$C21)^3+'DCF'!G11/(1+$C21)^4+'DCF'!H11/(1+$C21)^5+'Operating Forecast'!H19*D$16/(1+$C21)^5</x:f>
        <x:v>20020.547092180146</x:v>
      </x:c>
      <x:c r="E21" s="15" t="n">
        <x:f>'DCF'!D11/(1+$C21)^1+'DCF'!E11/(1+$C21)^2+'DCF'!F11/(1+$C21)^3+'DCF'!G11/(1+$C21)^4+'DCF'!H11/(1+$C21)^5+'Operating Forecast'!H19*E$16/(1+$C21)^5</x:f>
        <x:v>23057.738563494615</x:v>
      </x:c>
      <x:c r="F21" s="15" t="n">
        <x:f>'DCF'!D11/(1+$C21)^1+'DCF'!E11/(1+$C21)^2+'DCF'!F11/(1+$C21)^3+'DCF'!G11/(1+$C21)^4+'DCF'!H11/(1+$C21)^5+'Operating Forecast'!H19*F$16/(1+$C21)^5</x:f>
        <x:v>26094.930034809084</x:v>
      </x:c>
      <x:c r="G21" s="15" t="n">
        <x:f>'DCF'!D11/(1+$C21)^1+'DCF'!E11/(1+$C21)^2+'DCF'!F11/(1+$C21)^3+'DCF'!G11/(1+$C21)^4+'DCF'!H11/(1+$C21)^5+'Operating Forecast'!H19*G$16/(1+$C21)^5</x:f>
        <x:v>29132.121506123553</x:v>
      </x:c>
      <x:c r="H21" s="15" t="n">
        <x:f>'DCF'!D11/(1+$C21)^1+'DCF'!E11/(1+$C21)^2+'DCF'!F11/(1+$C21)^3+'DCF'!G11/(1+$C21)^4+'DCF'!H11/(1+$C21)^5+'Operating Forecast'!H19*H$16/(1+$C21)^5</x:f>
        <x:v>32169.312977438018</x:v>
      </x:c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conditionalFormatting sqref="D7:H11">
    <x:cfRule type="colorScale" priority="1">
      <x:colorScale>
        <x:cfvo type="min"/>
        <x:cfvo type="percentile" val="50"/>
        <x:cfvo type="max"/>
        <x:color rgb="FFEAF2F8"/>
        <x:color rgb="FFA9C5DB"/>
        <x:color rgb="FF315C7F"/>
      </x:colorScale>
    </x:cfRule>
  </x:conditionalFormatting>
  <x:conditionalFormatting sqref="D17:H21">
    <x:cfRule type="colorScale" priority="2">
      <x:colorScale>
        <x:cfvo type="min"/>
        <x:cfvo type="percentile" val="50"/>
        <x:cfvo type="max"/>
        <x:color rgb="FFEAF2F8"/>
        <x:color rgb="FFA9C5DB"/>
        <x:color rgb="FF315C7F"/>
      </x:colorScale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Dashboard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"/>
      <x:c r="D5" s="1"/>
      <x:c r="E5" s="1"/>
      <x:c r="F5" s="1"/>
      <x:c r="G5" s="1"/>
      <x:c r="H5" s="1"/>
    </x:row>
    <x:row r="6" ht="21" customHeight="1">
      <x:c r="C6" s="59" t="str">
        <x:v>Selected-case recommendation</x:v>
      </x:c>
      <x:c r="D6" s="12" t="str">
        <x:f>IF(AND('LBO'!D45&gt;='LBO'!D46,'Checks'!D20=0),"Proceed to downside diligence","Do Not Proceed")</x:f>
        <x:v>Do Not Proceed</x:v>
      </x:c>
      <x:c r="E6" s="2"/>
      <x:c r="F6" s="2"/>
      <x:c r="G6" s="2"/>
      <x:c r="H6" s="2"/>
    </x:row>
    <x:row r="7" ht="21" customHeight="1">
      <x:c r="C7" s="59"/>
      <x:c r="D7" s="2"/>
      <x:c r="E7" s="2"/>
      <x:c r="F7" s="2"/>
      <x:c r="G7" s="2"/>
      <x:c r="H7" s="2"/>
    </x:row>
    <x:row r="8" ht="21" customHeight="1">
      <x:c r="C8" s="59" t="str">
        <x:v>DCF EV</x:v>
      </x:c>
      <x:c r="D8" s="12" t="n">
        <x:f>'DCF'!D19</x:f>
        <x:v>20823.652549491962</x:v>
      </x:c>
      <x:c r="E8" s="2"/>
      <x:c r="F8" s="2"/>
      <x:c r="G8" s="2"/>
      <x:c r="H8" s="2"/>
    </x:row>
    <x:row r="9" ht="21" customHeight="1">
      <x:c r="C9" s="59" t="str">
        <x:v>DCF / share</x:v>
      </x:c>
      <x:c r="D9" s="33" t="n">
        <x:f>'DCF'!D23</x:f>
        <x:v>127.41194146295469</x:v>
      </x:c>
      <x:c r="E9" s="2"/>
      <x:c r="F9" s="2"/>
      <x:c r="G9" s="2"/>
      <x:c r="H9" s="2"/>
    </x:row>
    <x:row r="10" ht="21" customHeight="1">
      <x:c r="C10" s="59" t="str">
        <x:v>Entry EV</x:v>
      </x:c>
      <x:c r="D10" s="12" t="n">
        <x:f>'LBO'!D6</x:f>
        <x:v>26477.31</x:v>
      </x:c>
      <x:c r="E10" s="2"/>
      <x:c r="F10" s="2"/>
      <x:c r="G10" s="2"/>
      <x:c r="H10" s="2"/>
    </x:row>
    <x:row r="11" ht="21" customHeight="1">
      <x:c r="C11" s="59" t="str">
        <x:v>Sponsor IRR</x:v>
      </x:c>
      <x:c r="D11" s="24" t="n">
        <x:f>'LBO'!D45</x:f>
        <x:v>0.10520592382461769</x:v>
      </x:c>
      <x:c r="E11" s="2"/>
      <x:c r="F11" s="2"/>
      <x:c r="G11" s="2"/>
      <x:c r="H11" s="2"/>
    </x:row>
    <x:row r="12" ht="21" customHeight="1">
      <x:c r="C12" s="59" t="str">
        <x:v>Sponsor MOIC</x:v>
      </x:c>
      <x:c r="D12" s="34" t="n">
        <x:f>'LBO'!D44</x:f>
        <x:v>1.6489823994462194</x:v>
      </x:c>
      <x:c r="E12" s="2"/>
      <x:c r="F12" s="2"/>
      <x:c r="G12" s="2"/>
      <x:c r="H12" s="2"/>
    </x:row>
    <x:row r="13" ht="21" customHeight="1">
      <x:c r="C13" s="59" t="str">
        <x:v>Exit debt</x:v>
      </x:c>
      <x:c r="D13" s="12" t="n">
        <x:f>'LBO'!H33</x:f>
        <x:v>0</x:v>
      </x:c>
      <x:c r="E13" s="2"/>
      <x:c r="F13" s="2"/>
      <x:c r="G13" s="2"/>
      <x:c r="H13" s="2"/>
    </x:row>
    <x:row r="14" ht="21" customHeight="1">
      <x:c r="C14" s="59" t="str">
        <x:v>Maximum reconciliation residual</x:v>
      </x:c>
      <x:c r="D14" s="12" t="n">
        <x:f>'Checks'!D16</x:f>
        <x:v>1.8189894035458565e-12</x:v>
      </x:c>
      <x:c r="E14" s="2"/>
      <x:c r="F14" s="2"/>
      <x:c r="G14" s="2"/>
      <x:c r="H14" s="2"/>
    </x:row>
    <x:row r="15" ht="21" customHeight="1">
      <x:c r="C15" s="59"/>
      <x:c r="D15" s="2"/>
      <x:c r="E15" s="2"/>
      <x:c r="F15" s="2"/>
      <x:c r="G15" s="2"/>
      <x:c r="H15" s="2"/>
    </x:row>
    <x:row r="16" ht="21" customHeight="1">
      <x:c r="C16" s="59" t="str">
        <x:v>Switch case in Assumptions for downside</x:v>
      </x:c>
      <x:c r="D16" s="2"/>
      <x:c r="E16" s="2"/>
      <x:c r="F16" s="2"/>
      <x:c r="G16" s="2"/>
      <x:c r="H16" s="2"/>
    </x:row>
    <x:row r="17" ht="21" customHeight="1">
      <x:c r="C17" s="59"/>
      <x:c r="D17" s="2"/>
      <x:c r="E17" s="2"/>
      <x:c r="F17" s="2"/>
      <x:c r="G17" s="2"/>
      <x:c r="H17" s="2"/>
    </x:row>
    <x:row r="18" ht="21" customHeight="1">
      <x:c r="C18" s="59"/>
      <x:c r="D18" s="2"/>
      <x:c r="E18" s="2"/>
      <x:c r="F18" s="2"/>
      <x:c r="G18" s="2"/>
      <x:c r="H18" s="2"/>
    </x:row>
    <x:row r="19" ht="21" customHeight="1">
      <x:c r="C19" s="59" t="str">
        <x:v>Fiscal year</x:v>
      </x:c>
      <x:c r="D19" s="2" t="str">
        <x:v>Revenue</x:v>
      </x:c>
      <x:c r="E19" s="2" t="str">
        <x:v>EBITDA</x:v>
      </x:c>
      <x:c r="F19" s="2"/>
      <x:c r="G19" s="2"/>
      <x:c r="H19" s="2"/>
    </x:row>
    <x:row r="20" ht="21" customHeight="1">
      <x:c r="C20" s="59" t="n">
        <x:v>2025</x:v>
      </x:c>
      <x:c r="D20" s="12" t="n">
        <x:f>'Operating Forecast'!D11</x:f>
        <x:v>6774.14145</x:v>
      </x:c>
      <x:c r="E20" s="12" t="n">
        <x:f>'Operating Forecast'!D19</x:f>
        <x:v>1896.7596060000005</x:v>
      </x:c>
      <x:c r="F20" s="2"/>
      <x:c r="G20" s="2"/>
      <x:c r="H20" s="2"/>
    </x:row>
    <x:row r="21" ht="21" customHeight="1">
      <x:c r="C21" s="59" t="n">
        <x:v>2026</x:v>
      </x:c>
      <x:c r="D21" s="12" t="n">
        <x:f>'Operating Forecast'!E11</x:f>
        <x:v>7292.6103849</x:v>
      </x:c>
      <x:c r="E21" s="12" t="n">
        <x:f>'Operating Forecast'!E19</x:f>
        <x:v>2041.930907772</x:v>
      </x:c>
      <x:c r="F21" s="2"/>
      <x:c r="G21" s="2"/>
      <x:c r="H21" s="2"/>
    </x:row>
    <x:row r="22" ht="21" customHeight="1">
      <x:c r="C22" s="59" t="n">
        <x:v>2027</x:v>
      </x:c>
      <x:c r="D22" s="12" t="n">
        <x:f>'Operating Forecast'!F11</x:f>
        <x:v>7856.429424285001</x:v>
      </x:c>
      <x:c r="E22" s="12" t="n">
        <x:f>'Operating Forecast'!F19</x:f>
        <x:v>2199.8002387998004</x:v>
      </x:c>
      <x:c r="F22" s="2"/>
      <x:c r="G22" s="2"/>
      <x:c r="H22" s="2"/>
    </x:row>
    <x:row r="23" ht="21" customHeight="1">
      <x:c r="C23" s="59" t="n">
        <x:v>2028</x:v>
      </x:c>
      <x:c r="D23" s="12" t="n">
        <x:f>'Operating Forecast'!G11</x:f>
        <x:v>8470.188553003292</x:v>
      </x:c>
      <x:c r="E23" s="12" t="n">
        <x:f>'Operating Forecast'!G19</x:f>
        <x:v>2371.652794840922</x:v>
      </x:c>
      <x:c r="F23" s="2"/>
      <x:c r="G23" s="2"/>
      <x:c r="H23" s="2"/>
    </x:row>
    <x:row r="24" ht="21" customHeight="1">
      <x:c r="C24" s="59" t="n">
        <x:v>2029</x:v>
      </x:c>
      <x:c r="D24" s="12" t="n">
        <x:f>'Operating Forecast'!H11</x:f>
        <x:v>9139.007602390388</x:v>
      </x:c>
      <x:c r="E24" s="12" t="n">
        <x:f>'Operating Forecast'!H19</x:f>
        <x:v>2558.922128669308</x:v>
      </x:c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mergeCells>
    <x:mergeCell ref="D6:H6"/>
  </x:mergeCells>
  <x:pageMargins left="0.7" right="0.7" top="0.75" bottom="0.75" header="0.3" footer="0.3"/>
  <x:drawing xmlns:r="http://schemas.openxmlformats.org/officeDocument/2006/relationships" r:id="Rdc5cab95542f49cf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C1" s="1"/>
      <x:c r="D1" s="1"/>
      <x:c r="E1" s="1"/>
      <x:c r="F1" s="1"/>
      <x:c r="G1" s="1"/>
      <x:c r="H1" s="1"/>
    </x:row>
    <x:row r="2" ht="21" customHeight="1">
      <x:c r="C2" s="3" t="str">
        <x:v>Checks</x:v>
      </x:c>
      <x:c r="D2" s="1"/>
      <x:c r="E2" s="1"/>
      <x:c r="F2" s="1"/>
      <x:c r="G2" s="1"/>
      <x:c r="H2" s="1"/>
    </x:row>
    <x:row r="3" ht="21" customHeight="1">
      <x:c r="C3" s="4" t="str">
        <x:v>USD millions unless stated; historical case at 2025-02-28</x:v>
      </x:c>
      <x:c r="D3" s="4"/>
      <x:c r="E3" s="4"/>
      <x:c r="F3" s="4"/>
      <x:c r="G3" s="4"/>
      <x:c r="H3" s="4"/>
    </x:row>
    <x:row r="4" ht="21" customHeight="1">
      <x:c r="C4" s="5"/>
      <x:c r="D4" s="5"/>
      <x:c r="E4" s="5"/>
      <x:c r="F4" s="5"/>
      <x:c r="G4" s="5"/>
      <x:c r="H4" s="5"/>
    </x:row>
    <x:row r="5" ht="21" customHeight="1">
      <x:c r="C5" s="1"/>
      <x:c r="D5" s="1" t="n">
        <x:v>2025</x:v>
      </x:c>
      <x:c r="E5" s="1" t="n">
        <x:v>2026</x:v>
      </x:c>
      <x:c r="F5" s="1" t="n">
        <x:v>2027</x:v>
      </x:c>
      <x:c r="G5" s="1" t="n">
        <x:v>2028</x:v>
      </x:c>
      <x:c r="H5" s="1" t="n">
        <x:v>2029</x:v>
      </x:c>
    </x:row>
    <x:row r="6" ht="32" customHeight="1">
      <x:c r="C6" s="59" t="str">
        <x:v>Assets less liabilities and equity</x:v>
      </x:c>
      <x:c r="D6" s="12" t="n">
        <x:f>'Balance Sheet'!D15-'Balance Sheet'!D23</x:f>
        <x:v>0</x:v>
      </x:c>
      <x:c r="E6" s="12" t="n">
        <x:f>'Balance Sheet'!E15-'Balance Sheet'!E23</x:f>
        <x:v>0</x:v>
      </x:c>
      <x:c r="F6" s="12" t="n">
        <x:f>'Balance Sheet'!F15-'Balance Sheet'!F23</x:f>
        <x:v>1.8189894035458565e-12</x:v>
      </x:c>
      <x:c r="G6" s="12" t="n">
        <x:f>'Balance Sheet'!G15-'Balance Sheet'!G23</x:f>
        <x:v>0</x:v>
      </x:c>
      <x:c r="H6" s="12" t="n">
        <x:f>'Balance Sheet'!H15-'Balance Sheet'!H23</x:f>
        <x:v>1.8189894035458565e-12</x:v>
      </x:c>
    </x:row>
    <x:row r="7" ht="32" customHeight="1">
      <x:c r="C7" s="59" t="str">
        <x:v>Cash flow closing less balance sheet cash</x:v>
      </x:c>
      <x:c r="D7" s="12" t="n">
        <x:f>'Cash Flow'!D19-'Balance Sheet'!D6</x:f>
        <x:v>0</x:v>
      </x:c>
      <x:c r="E7" s="12" t="n">
        <x:f>'Cash Flow'!E19-'Balance Sheet'!E6</x:f>
        <x:v>0</x:v>
      </x:c>
      <x:c r="F7" s="12" t="n">
        <x:f>'Cash Flow'!F19-'Balance Sheet'!F6</x:f>
        <x:v>0</x:v>
      </x:c>
      <x:c r="G7" s="12" t="n">
        <x:f>'Cash Flow'!G19-'Balance Sheet'!G6</x:f>
        <x:v>0</x:v>
      </x:c>
      <x:c r="H7" s="12" t="n">
        <x:f>'Cash Flow'!H19-'Balance Sheet'!H6</x:f>
        <x:v>0</x:v>
      </x:c>
    </x:row>
    <x:row r="8" ht="32" customHeight="1">
      <x:c r="C8" s="59" t="str">
        <x:v>Equity movement less earnings / dividends</x:v>
      </x:c>
      <x:c r="D8" s="12" t="n">
        <x:f>'Balance Sheet'!D22-'Historicals'!H27-'Income Statement'!D16+'Cash Flow'!D11</x:f>
        <x:v>-1.1368683772161603e-13</x:v>
      </x:c>
      <x:c r="E8" s="12" t="n">
        <x:f>'Balance Sheet'!E22-'Balance Sheet'!D22-'Income Statement'!E16+'Cash Flow'!E11</x:f>
        <x:v>1.1368683772161603e-13</x:v>
      </x:c>
      <x:c r="F8" s="12" t="n">
        <x:f>'Balance Sheet'!F22-'Balance Sheet'!E22-'Income Statement'!F16+'Cash Flow'!F11</x:f>
        <x:v>-9.094947017729282e-13</x:v>
      </x:c>
      <x:c r="G8" s="12" t="n">
        <x:f>'Balance Sheet'!G22-'Balance Sheet'!F22-'Income Statement'!G16+'Cash Flow'!G11</x:f>
        <x:v>9.094947017729282e-13</x:v>
      </x:c>
      <x:c r="H8" s="12" t="n">
        <x:f>'Balance Sheet'!H22-'Balance Sheet'!G22-'Income Statement'!H16+'Cash Flow'!H11</x:f>
        <x:v>-2.2737367544323206e-13</x:v>
      </x:c>
    </x:row>
    <x:row r="9" ht="32" customHeight="1">
      <x:c r="C9" s="59" t="str">
        <x:v>Debt opening + draws - paydown - closing</x:v>
      </x:c>
      <x:c r="D9" s="12" t="n">
        <x:f>'Debt Schedule'!D6+'Debt Schedule'!D10-'Debt Schedule'!D8-'Debt Schedule'!D11-'Debt Schedule'!D12</x:f>
        <x:v>0</x:v>
      </x:c>
      <x:c r="E9" s="12" t="n">
        <x:f>'Debt Schedule'!E6+'Debt Schedule'!E10-'Debt Schedule'!E8-'Debt Schedule'!E11-'Debt Schedule'!E12</x:f>
        <x:v>0</x:v>
      </x:c>
      <x:c r="F9" s="12" t="n">
        <x:f>'Debt Schedule'!F6+'Debt Schedule'!F10-'Debt Schedule'!F8-'Debt Schedule'!F11-'Debt Schedule'!F12</x:f>
        <x:v>0</x:v>
      </x:c>
      <x:c r="G9" s="12" t="n">
        <x:f>'Debt Schedule'!G6+'Debt Schedule'!G10-'Debt Schedule'!G8-'Debt Schedule'!G11-'Debt Schedule'!G12</x:f>
        <x:v>0</x:v>
      </x:c>
      <x:c r="H9" s="12" t="n">
        <x:f>'Debt Schedule'!H6+'Debt Schedule'!H10-'Debt Schedule'!H8-'Debt Schedule'!H11-'Debt Schedule'!H12</x:f>
        <x:v>0</x:v>
      </x:c>
    </x:row>
    <x:row r="10" ht="32" customHeight="1">
      <x:c r="C10" s="59" t="str">
        <x:v>LBO sources less uses</x:v>
      </x:c>
      <x:c r="D10" s="12" t="n">
        <x:f>'LBO'!$D$17</x:f>
        <x:v>0</x:v>
      </x:c>
      <x:c r="E10" s="12" t="n">
        <x:f>'LBO'!$D$17</x:f>
        <x:v>0</x:v>
      </x:c>
      <x:c r="F10" s="12" t="n">
        <x:f>'LBO'!$D$17</x:f>
        <x:v>0</x:v>
      </x:c>
      <x:c r="G10" s="12" t="n">
        <x:f>'LBO'!$D$17</x:f>
        <x:v>0</x:v>
      </x:c>
      <x:c r="H10" s="12" t="n">
        <x:f>'LBO'!$D$17</x:f>
        <x:v>0</x:v>
      </x:c>
    </x:row>
    <x:row r="11" ht="32" customHeight="1">
      <x:c r="C11" s="59" t="str">
        <x:v>LBO debt roll-forward residual</x:v>
      </x:c>
      <x:c r="D11" s="12" t="n">
        <x:f>'LBO'!D38</x:f>
        <x:v>0</x:v>
      </x:c>
      <x:c r="E11" s="12" t="n">
        <x:f>'LBO'!E38</x:f>
        <x:v>0</x:v>
      </x:c>
      <x:c r="F11" s="12" t="n">
        <x:f>'LBO'!F38</x:f>
        <x:v>0</x:v>
      </x:c>
      <x:c r="G11" s="12" t="n">
        <x:f>'LBO'!G38</x:f>
        <x:v>0</x:v>
      </x:c>
      <x:c r="H11" s="12" t="n">
        <x:f>'LBO'!H38</x:f>
        <x:v>0</x:v>
      </x:c>
    </x:row>
    <x:row r="12" ht="32" customHeight="1">
      <x:c r="C12" s="59" t="str">
        <x:v>PP&amp;E roll-forward residual</x:v>
      </x:c>
      <x:c r="D12" s="12" t="n">
        <x:f>'Balance Sheet'!D10-'Historicals'!H20-'Operating Forecast'!D15+'Operating Forecast'!D16</x:f>
        <x:v>-2.842170943040401e-14</x:v>
      </x:c>
      <x:c r="E12" s="12" t="n">
        <x:f>'Balance Sheet'!E10-'Balance Sheet'!D10-'Operating Forecast'!E15+'Operating Forecast'!E16</x:f>
        <x:v>8.526512829121202e-14</x:v>
      </x:c>
      <x:c r="F12" s="12" t="n">
        <x:f>'Balance Sheet'!F10-'Balance Sheet'!E10-'Operating Forecast'!F15+'Operating Forecast'!F16</x:f>
        <x:v>0</x:v>
      </x:c>
      <x:c r="G12" s="12" t="n">
        <x:f>'Balance Sheet'!G10-'Balance Sheet'!F10-'Operating Forecast'!G15+'Operating Forecast'!G16</x:f>
        <x:v>-8.526512829121202e-14</x:v>
      </x:c>
      <x:c r="H12" s="12" t="n">
        <x:f>'Balance Sheet'!H10-'Balance Sheet'!G10-'Operating Forecast'!H15+'Operating Forecast'!H16</x:f>
        <x:v>-8.526512829121202e-14</x:v>
      </x:c>
    </x:row>
    <x:row r="13" ht="32" customHeight="1">
      <x:c r="C13" s="59" t="str">
        <x:v>Cash flow closing less debt waterfall cash</x:v>
      </x:c>
      <x:c r="D13" s="12" t="n">
        <x:f>'Cash Flow'!D19-'Debt Schedule'!D13</x:f>
        <x:v>0</x:v>
      </x:c>
      <x:c r="E13" s="12" t="n">
        <x:f>'Cash Flow'!E19-'Debt Schedule'!E13</x:f>
        <x:v>0</x:v>
      </x:c>
      <x:c r="F13" s="12" t="n">
        <x:f>'Cash Flow'!F19-'Debt Schedule'!F13</x:f>
        <x:v>-9.094947017729282e-13</x:v>
      </x:c>
      <x:c r="G13" s="12" t="n">
        <x:f>'Cash Flow'!G19-'Debt Schedule'!G13</x:f>
        <x:v>0</x:v>
      </x:c>
      <x:c r="H13" s="12" t="n">
        <x:f>'Cash Flow'!H19-'Debt Schedule'!H13</x:f>
        <x:v>9.094947017729282e-13</x:v>
      </x:c>
    </x:row>
    <x:row r="14" ht="32" customHeight="1">
      <x:c r="C14" s="59"/>
      <x:c r="D14" s="2"/>
      <x:c r="E14" s="2"/>
      <x:c r="F14" s="2"/>
      <x:c r="G14" s="2"/>
      <x:c r="H14" s="2"/>
    </x:row>
    <x:row r="15" ht="32" customHeight="1">
      <x:c r="C15" s="59"/>
      <x:c r="D15" s="2"/>
      <x:c r="E15" s="2"/>
      <x:c r="F15" s="2"/>
      <x:c r="G15" s="2"/>
      <x:c r="H15" s="2"/>
    </x:row>
    <x:row r="16" ht="32" customHeight="1">
      <x:c r="C16" s="59" t="str">
        <x:v>Maximum absolute reconciliation residual</x:v>
      </x:c>
      <x:c r="D16" s="38" t="n">
        <x:f>MAX(MAX(D6:H13),-MIN(D6:H13))</x:f>
        <x:v>1.8189894035458565e-12</x:v>
      </x:c>
      <x:c r="E16" s="2"/>
      <x:c r="F16" s="2"/>
      <x:c r="G16" s="2"/>
      <x:c r="H16" s="2"/>
    </x:row>
    <x:row r="17" ht="32" customHeight="1">
      <x:c r="C17" s="59" t="str">
        <x:v>Tolerance</x:v>
      </x:c>
      <x:c r="D17" s="39" t="n">
        <x:v>0.000001</x:v>
      </x:c>
      <x:c r="E17" s="2"/>
      <x:c r="F17" s="2"/>
      <x:c r="G17" s="2"/>
      <x:c r="H17" s="2"/>
    </x:row>
    <x:row r="18" ht="32" customHeight="1">
      <x:c r="C18" s="59" t="str">
        <x:v>Reconciliation within tolerance</x:v>
      </x:c>
      <x:c r="D18" s="40" t="b">
        <x:f>D16&lt;D17</x:f>
        <x:v>1</x:v>
      </x:c>
      <x:c r="E18" s="2"/>
      <x:c r="F18" s="2"/>
      <x:c r="G18" s="2"/>
      <x:c r="H18" s="2"/>
    </x:row>
    <x:row r="19" ht="32" customHeight="1">
      <x:c r="C19" s="59" t="str">
        <x:v>WACC above terminal growth</x:v>
      </x:c>
      <x:c r="D19" s="41" t="b">
        <x:f>'DCF'!D24&gt;'DCF'!D25</x:f>
        <x:v>1</x:v>
      </x:c>
      <x:c r="E19" s="2"/>
      <x:c r="F19" s="2"/>
      <x:c r="G19" s="2"/>
      <x:c r="H19" s="2"/>
    </x:row>
    <x:row r="20" ht="32" customHeight="1">
      <x:c r="C20" s="59" t="str">
        <x:v>Total additional LBO funding</x:v>
      </x:c>
      <x:c r="D20" s="12" t="n">
        <x:f>SUM('LBO'!D31:'LBO'!H31)</x:f>
        <x:v>0</x:v>
      </x:c>
      <x:c r="E20" s="2"/>
      <x:c r="F20" s="2"/>
      <x:c r="G20" s="2"/>
      <x:c r="H20" s="2"/>
    </x:row>
    <x:row r="21" ht="21" customHeight="1">
      <x:c r="C21" s="59"/>
      <x:c r="D21" s="2"/>
      <x:c r="E21" s="2"/>
      <x:c r="F21" s="2"/>
      <x:c r="G21" s="2"/>
      <x:c r="H21" s="2"/>
    </x:row>
    <x:row r="22" ht="21" customHeight="1">
      <x:c r="C22" s="59"/>
      <x:c r="D22" s="2"/>
      <x:c r="E22" s="2"/>
      <x:c r="F22" s="2"/>
      <x:c r="G22" s="2"/>
      <x:c r="H22" s="2"/>
    </x:row>
    <x:row r="23" ht="21" customHeight="1">
      <x:c r="C23" s="59"/>
      <x:c r="D23" s="2"/>
      <x:c r="E23" s="2"/>
      <x:c r="F23" s="2"/>
      <x:c r="G23" s="2"/>
      <x:c r="H23" s="2"/>
    </x:row>
    <x:row r="24" ht="21" customHeight="1">
      <x:c r="C24" s="59"/>
      <x:c r="D24" s="2"/>
      <x:c r="E24" s="2"/>
      <x:c r="F24" s="2"/>
      <x:c r="G24" s="2"/>
      <x:c r="H24" s="2"/>
    </x:row>
    <x:row r="25" ht="21" customHeight="1">
      <x:c r="C25" s="59"/>
      <x:c r="D25" s="2"/>
      <x:c r="E25" s="2"/>
      <x:c r="F25" s="2"/>
      <x:c r="G25" s="2"/>
      <x:c r="H25" s="2"/>
    </x:row>
    <x:row r="26" ht="21" customHeight="1">
      <x:c r="C26" s="59"/>
      <x:c r="D26" s="2"/>
      <x:c r="E26" s="2"/>
      <x:c r="F26" s="2"/>
      <x:c r="G26" s="2"/>
      <x:c r="H26" s="2"/>
    </x:row>
    <x:row r="27" ht="21" customHeight="1">
      <x:c r="C27" s="59"/>
      <x:c r="D27" s="2"/>
      <x:c r="E27" s="2"/>
      <x:c r="F27" s="2"/>
      <x:c r="G27" s="2"/>
      <x:c r="H27" s="2"/>
    </x:row>
    <x:row r="28" ht="21" customHeight="1">
      <x:c r="C28" s="59"/>
      <x:c r="D28" s="2"/>
      <x:c r="E28" s="2"/>
      <x:c r="F28" s="2"/>
      <x:c r="G28" s="2"/>
      <x:c r="H28" s="2"/>
    </x:row>
    <x:row r="29" ht="21" customHeight="1">
      <x:c r="C29" s="59"/>
      <x:c r="D29" s="2"/>
      <x:c r="E29" s="2"/>
      <x:c r="F29" s="2"/>
      <x:c r="G29" s="2"/>
      <x:c r="H29" s="2"/>
    </x:row>
    <x:row r="30" ht="21" customHeight="1">
      <x:c r="C30" s="59"/>
      <x:c r="D30" s="2"/>
      <x:c r="E30" s="2"/>
      <x:c r="F30" s="2"/>
      <x:c r="G30" s="2"/>
      <x:c r="H30" s="2"/>
    </x:row>
    <x:row r="31" ht="21" customHeight="1">
      <x:c r="C31" s="59"/>
      <x:c r="D31" s="2"/>
      <x:c r="E31" s="2"/>
      <x:c r="F31" s="2"/>
      <x:c r="G31" s="2"/>
      <x:c r="H31" s="2"/>
    </x:row>
    <x:row r="32" ht="21" customHeight="1">
      <x:c r="C32" s="59"/>
      <x:c r="D32" s="2"/>
      <x:c r="E32" s="2"/>
      <x:c r="F32" s="2"/>
      <x:c r="G32" s="2"/>
      <x:c r="H32" s="2"/>
    </x:row>
    <x:row r="33" ht="21" customHeight="1">
      <x:c r="C33" s="59"/>
      <x:c r="D33" s="2"/>
      <x:c r="E33" s="2"/>
      <x:c r="F33" s="2"/>
      <x:c r="G33" s="2"/>
      <x:c r="H33" s="2"/>
    </x:row>
    <x:row r="34" ht="21" customHeight="1">
      <x:c r="C34" s="59"/>
      <x:c r="D34" s="2"/>
      <x:c r="E34" s="2"/>
      <x:c r="F34" s="2"/>
      <x:c r="G34" s="2"/>
      <x:c r="H34" s="2"/>
    </x:row>
    <x:row r="35" ht="21" customHeight="1">
      <x:c r="C35" s="59"/>
      <x:c r="D35" s="2"/>
      <x:c r="E35" s="2"/>
      <x:c r="F35" s="2"/>
      <x:c r="G35" s="2"/>
      <x:c r="H35" s="2"/>
    </x:row>
    <x:row r="36" ht="21" customHeight="1">
      <x:c r="C36" s="59"/>
      <x:c r="D36" s="2"/>
      <x:c r="E36" s="2"/>
      <x:c r="F36" s="2"/>
      <x:c r="G36" s="2"/>
      <x:c r="H36" s="2"/>
    </x:row>
    <x:row r="37" ht="21" customHeight="1">
      <x:c r="C37" s="59"/>
      <x:c r="D37" s="2"/>
      <x:c r="E37" s="2"/>
      <x:c r="F37" s="2"/>
      <x:c r="G37" s="2"/>
      <x:c r="H37" s="2"/>
    </x:row>
    <x:row r="38" ht="21" customHeight="1">
      <x:c r="C38" s="59"/>
      <x:c r="D38" s="2"/>
      <x:c r="E38" s="2"/>
      <x:c r="F38" s="2"/>
      <x:c r="G38" s="2"/>
      <x:c r="H38" s="2"/>
    </x:row>
    <x:row r="39" ht="21" customHeight="1">
      <x:c r="C39" s="59"/>
      <x:c r="D39" s="2"/>
      <x:c r="E39" s="2"/>
      <x:c r="F39" s="2"/>
      <x:c r="G39" s="2"/>
      <x:c r="H39" s="2"/>
    </x:row>
    <x:row r="40" ht="21" customHeight="1">
      <x:c r="C40" s="59"/>
      <x:c r="D40" s="2"/>
      <x:c r="E40" s="2"/>
      <x:c r="F40" s="2"/>
      <x:c r="G40" s="2"/>
      <x:c r="H40" s="2"/>
    </x:row>
    <x:row r="41" ht="21" customHeight="1">
      <x:c r="C41" s="59"/>
      <x:c r="D41" s="2"/>
      <x:c r="E41" s="2"/>
      <x:c r="F41" s="2"/>
      <x:c r="G41" s="2"/>
      <x:c r="H41" s="2"/>
    </x:row>
    <x:row r="42" ht="21" customHeight="1">
      <x:c r="C42" s="59"/>
      <x:c r="D42" s="2"/>
      <x:c r="E42" s="2"/>
      <x:c r="F42" s="2"/>
      <x:c r="G42" s="2"/>
      <x:c r="H42" s="2"/>
    </x:row>
    <x:row r="43" ht="21" customHeight="1">
      <x:c r="C43" s="59"/>
      <x:c r="D43" s="2"/>
      <x:c r="E43" s="2"/>
      <x:c r="F43" s="2"/>
      <x:c r="G43" s="2"/>
      <x:c r="H43" s="2"/>
    </x:row>
    <x:row r="44" ht="21" customHeight="1">
      <x:c r="C44" s="59"/>
      <x:c r="D44" s="2"/>
      <x:c r="E44" s="2"/>
      <x:c r="F44" s="2"/>
      <x:c r="G44" s="2"/>
      <x:c r="H44" s="2"/>
    </x:row>
    <x:row r="45" ht="21" customHeight="1">
      <x:c r="C45" s="59"/>
      <x:c r="D45" s="2"/>
      <x:c r="E45" s="2"/>
      <x:c r="F45" s="2"/>
      <x:c r="G45" s="2"/>
      <x:c r="H45" s="2"/>
    </x:row>
    <x:row r="46" ht="21" customHeight="1">
      <x:c r="C46" s="59"/>
      <x:c r="D46" s="2"/>
      <x:c r="E46" s="2"/>
      <x:c r="F46" s="2"/>
      <x:c r="G46" s="2"/>
      <x:c r="H46" s="2"/>
    </x:row>
    <x:row r="47" ht="21" customHeight="1">
      <x:c r="C47" s="59"/>
      <x:c r="D47" s="2"/>
      <x:c r="E47" s="2"/>
      <x:c r="F47" s="2"/>
      <x:c r="G47" s="2"/>
      <x:c r="H47" s="2"/>
    </x:row>
    <x:row r="48" ht="21" customHeight="1">
      <x:c r="C48" s="59"/>
      <x:c r="D48" s="2"/>
      <x:c r="E48" s="2"/>
      <x:c r="F48" s="2"/>
      <x:c r="G48" s="2"/>
      <x:c r="H48" s="2"/>
    </x:row>
    <x:row r="49" ht="21" customHeight="1">
      <x:c r="C49" s="59"/>
      <x:c r="D49" s="2"/>
      <x:c r="E49" s="2"/>
      <x:c r="F49" s="2"/>
      <x:c r="G49" s="2"/>
      <x:c r="H49" s="2"/>
    </x:row>
    <x:row r="50" ht="21" customHeight="1">
      <x:c r="C50" s="59"/>
      <x:c r="D50" s="2"/>
      <x:c r="E50" s="2"/>
      <x:c r="F50" s="2"/>
      <x:c r="G50" s="2"/>
      <x:c r="H50" s="2"/>
    </x:row>
    <x:row r="51" ht="21" customHeight="1">
      <x:c r="C51" s="59"/>
      <x:c r="D51" s="2"/>
      <x:c r="E51" s="2"/>
      <x:c r="F51" s="2"/>
      <x:c r="G51" s="2"/>
      <x:c r="H51" s="2"/>
    </x:row>
    <x:row r="52" ht="21" customHeight="1">
      <x:c r="C52" s="59"/>
      <x:c r="D52" s="2"/>
      <x:c r="E52" s="2"/>
      <x:c r="F52" s="2"/>
      <x:c r="G52" s="2"/>
      <x:c r="H52" s="2"/>
    </x:row>
    <x:row r="53" ht="21" customHeight="1">
      <x:c r="C53" s="59"/>
      <x:c r="D53" s="2"/>
      <x:c r="E53" s="2"/>
      <x:c r="F53" s="2"/>
      <x:c r="G53" s="2"/>
      <x:c r="H53" s="2"/>
    </x:row>
    <x:row r="54" ht="21" customHeight="1">
      <x:c r="C54" s="59"/>
      <x:c r="D54" s="2"/>
      <x:c r="E54" s="2"/>
      <x:c r="F54" s="2"/>
      <x:c r="G54" s="2"/>
      <x:c r="H54" s="2"/>
    </x:row>
    <x:row r="55" ht="21" customHeight="1">
      <x:c r="C55" s="59"/>
      <x:c r="D55" s="2"/>
      <x:c r="E55" s="2"/>
      <x:c r="F55" s="2"/>
      <x:c r="G55" s="2"/>
      <x:c r="H55" s="2"/>
    </x:row>
    <x:row r="56" ht="21" customHeight="1">
      <x:c r="C56" s="59"/>
      <x:c r="D56" s="2"/>
      <x:c r="E56" s="2"/>
      <x:c r="F56" s="2"/>
      <x:c r="G56" s="2"/>
      <x:c r="H56" s="2"/>
    </x:row>
    <x:row r="57" ht="21" customHeight="1">
      <x:c r="C57" s="59"/>
      <x:c r="D57" s="2"/>
      <x:c r="E57" s="2"/>
      <x:c r="F57" s="2"/>
      <x:c r="G57" s="2"/>
      <x:c r="H57" s="2"/>
    </x:row>
    <x:row r="58" ht="21" customHeight="1">
      <x:c r="C58" s="59"/>
      <x:c r="D58" s="2"/>
      <x:c r="E58" s="2"/>
      <x:c r="F58" s="2"/>
      <x:c r="G58" s="2"/>
      <x:c r="H58" s="2"/>
    </x:row>
    <x:row r="59" ht="21" customHeight="1">
      <x:c r="C59" s="59"/>
      <x:c r="D59" s="2"/>
      <x:c r="E59" s="2"/>
      <x:c r="F59" s="2"/>
      <x:c r="G59" s="2"/>
      <x:c r="H59" s="2"/>
    </x:row>
    <x:row r="60" ht="21" customHeight="1">
      <x:c r="C60" s="59"/>
      <x:c r="D60" s="2"/>
      <x:c r="E60" s="2"/>
      <x:c r="F60" s="2"/>
      <x:c r="G60" s="2"/>
      <x:c r="H60" s="2"/>
    </x:row>
    <x:row r="61" ht="21" customHeight="1">
      <x:c r="C61" s="59"/>
      <x:c r="D61" s="2"/>
      <x:c r="E61" s="2"/>
      <x:c r="F61" s="2"/>
      <x:c r="G61" s="2"/>
      <x:c r="H61" s="2"/>
    </x:row>
    <x:row r="62" ht="21" customHeight="1">
      <x:c r="C62" s="59"/>
      <x:c r="D62" s="2"/>
      <x:c r="E62" s="2"/>
      <x:c r="F62" s="2"/>
      <x:c r="G62" s="2"/>
      <x:c r="H62" s="2"/>
    </x:row>
    <x:row r="63" ht="21" customHeight="1">
      <x:c r="C63" s="59"/>
      <x:c r="D63" s="2"/>
      <x:c r="E63" s="2"/>
      <x:c r="F63" s="2"/>
      <x:c r="G63" s="2"/>
      <x:c r="H63" s="2"/>
    </x:row>
    <x:row r="64" ht="21" customHeight="1">
      <x:c r="C64" s="59"/>
      <x:c r="D64" s="2"/>
      <x:c r="E64" s="2"/>
      <x:c r="F64" s="2"/>
      <x:c r="G64" s="2"/>
      <x:c r="H64" s="2"/>
    </x:row>
    <x:row r="65" ht="21" customHeight="1">
      <x:c r="C65" s="59"/>
      <x:c r="D65" s="2"/>
      <x:c r="E65" s="2"/>
      <x:c r="F65" s="2"/>
      <x:c r="G65" s="2"/>
      <x:c r="H65" s="2"/>
    </x:row>
    <x:row r="66" ht="21" customHeight="1">
      <x:c r="C66" s="59"/>
      <x:c r="D66" s="2"/>
      <x:c r="E66" s="2"/>
      <x:c r="F66" s="2"/>
      <x:c r="G66" s="2"/>
      <x:c r="H66" s="2"/>
    </x:row>
    <x:row r="67" ht="21" customHeight="1">
      <x:c r="C67" s="59"/>
      <x:c r="D67" s="2"/>
      <x:c r="E67" s="2"/>
      <x:c r="F67" s="2"/>
      <x:c r="G67" s="2"/>
      <x:c r="H67" s="2"/>
    </x:row>
    <x:row r="68" ht="21" customHeight="1">
      <x:c r="C68" s="59"/>
      <x:c r="D68" s="2"/>
      <x:c r="E68" s="2"/>
      <x:c r="F68" s="2"/>
      <x:c r="G68" s="2"/>
      <x:c r="H68" s="2"/>
    </x:row>
    <x:row r="69" ht="21" customHeight="1">
      <x:c r="C69" s="59"/>
      <x:c r="D69" s="2"/>
      <x:c r="E69" s="2"/>
      <x:c r="F69" s="2"/>
      <x:c r="G69" s="2"/>
      <x:c r="H69" s="2"/>
    </x:row>
    <x:row r="70" ht="21" customHeight="1">
      <x:c r="C70" s="59"/>
      <x:c r="D70" s="2"/>
      <x:c r="E70" s="2"/>
      <x:c r="F70" s="2"/>
      <x:c r="G70" s="2"/>
      <x:c r="H70" s="2"/>
    </x:row>
    <x:row r="71" ht="21" customHeight="1">
      <x:c r="C71" s="59"/>
      <x:c r="D71" s="2"/>
      <x:c r="E71" s="2"/>
      <x:c r="F71" s="2"/>
      <x:c r="G71" s="2"/>
      <x:c r="H71" s="2"/>
    </x:row>
    <x:row r="72" ht="21" customHeight="1">
      <x:c r="C72" s="59"/>
      <x:c r="D72" s="2"/>
      <x:c r="E72" s="2"/>
      <x:c r="F72" s="2"/>
      <x:c r="G72" s="2"/>
      <x:c r="H72" s="2"/>
    </x:row>
    <x:row r="73" ht="21" customHeight="1">
      <x:c r="C73" s="59"/>
      <x:c r="D73" s="2"/>
      <x:c r="E73" s="2"/>
      <x:c r="F73" s="2"/>
      <x:c r="G73" s="2"/>
      <x:c r="H73" s="2"/>
    </x:row>
    <x:row r="74" ht="21" customHeight="1">
      <x:c r="C74" s="59"/>
      <x:c r="D74" s="2"/>
      <x:c r="E74" s="2"/>
      <x:c r="F74" s="2"/>
      <x:c r="G74" s="2"/>
      <x:c r="H74" s="2"/>
    </x:row>
    <x:row r="75" ht="21" customHeight="1">
      <x:c r="C75" s="59"/>
      <x:c r="D75" s="2"/>
      <x:c r="E75" s="2"/>
      <x:c r="F75" s="2"/>
      <x:c r="G75" s="2"/>
      <x:c r="H75" s="2"/>
    </x:row>
    <x:row r="76" ht="21" customHeight="1">
      <x:c r="C76" s="59"/>
      <x:c r="D76" s="2"/>
      <x:c r="E76" s="2"/>
      <x:c r="F76" s="2"/>
      <x:c r="G76" s="2"/>
      <x:c r="H76" s="2"/>
    </x:row>
    <x:row r="77" ht="21" customHeight="1">
      <x:c r="C77" s="59"/>
      <x:c r="D77" s="2"/>
      <x:c r="E77" s="2"/>
      <x:c r="F77" s="2"/>
      <x:c r="G77" s="2"/>
      <x:c r="H77" s="2"/>
    </x:row>
    <x:row r="78" ht="21" customHeight="1">
      <x:c r="C78" s="59"/>
      <x:c r="D78" s="2"/>
      <x:c r="E78" s="2"/>
      <x:c r="F78" s="2"/>
      <x:c r="G78" s="2"/>
      <x:c r="H78" s="2"/>
    </x:row>
    <x:row r="79" ht="21" customHeight="1">
      <x:c r="C79" s="59"/>
      <x:c r="D79" s="2"/>
      <x:c r="E79" s="2"/>
      <x:c r="F79" s="2"/>
      <x:c r="G79" s="2"/>
      <x:c r="H79" s="2"/>
    </x:row>
    <x:row r="80" ht="21" customHeight="1">
      <x:c r="C80" s="59"/>
      <x:c r="D80" s="2"/>
      <x:c r="E80" s="2"/>
      <x:c r="F80" s="2"/>
      <x:c r="G80" s="2"/>
      <x:c r="H80" s="2"/>
    </x:row>
    <x:row r="81" ht="21" customHeight="1">
      <x:c r="C81" s="59"/>
      <x:c r="D81" s="2"/>
      <x:c r="E81" s="2"/>
      <x:c r="F81" s="2"/>
      <x:c r="G81" s="2"/>
      <x:c r="H81" s="2"/>
    </x:row>
    <x:row r="82" ht="21" customHeight="1">
      <x:c r="C82" s="59"/>
      <x:c r="D82" s="2"/>
      <x:c r="E82" s="2"/>
      <x:c r="F82" s="2"/>
      <x:c r="G82" s="2"/>
      <x:c r="H82" s="2"/>
    </x:row>
    <x:row r="83" ht="21" customHeight="1">
      <x:c r="C83" s="59"/>
      <x:c r="D83" s="2"/>
      <x:c r="E83" s="2"/>
      <x:c r="F83" s="2"/>
      <x:c r="G83" s="2"/>
      <x:c r="H83" s="2"/>
    </x:row>
    <x:row r="84" ht="21" customHeight="1">
      <x:c r="C84" s="59"/>
      <x:c r="D84" s="2"/>
      <x:c r="E84" s="2"/>
      <x:c r="F84" s="2"/>
      <x:c r="G84" s="2"/>
      <x:c r="H84" s="2"/>
    </x:row>
    <x:row r="85" ht="21" customHeight="1">
      <x:c r="C85" s="59"/>
      <x:c r="D85" s="2"/>
      <x:c r="E85" s="2"/>
      <x:c r="F85" s="2"/>
      <x:c r="G85" s="2"/>
      <x:c r="H85" s="2"/>
    </x:row>
    <x:row r="86" ht="21" customHeight="1">
      <x:c r="C86" s="59"/>
      <x:c r="D86" s="2"/>
      <x:c r="E86" s="2"/>
      <x:c r="F86" s="2"/>
      <x:c r="G86" s="2"/>
      <x:c r="H86" s="2"/>
    </x:row>
    <x:row r="87" ht="21" customHeight="1">
      <x:c r="C87" s="59"/>
      <x:c r="D87" s="2"/>
      <x:c r="E87" s="2"/>
      <x:c r="F87" s="2"/>
      <x:c r="G87" s="2"/>
      <x:c r="H87" s="2"/>
    </x:row>
    <x:row r="88" ht="21" customHeight="1">
      <x:c r="C88" s="59"/>
      <x:c r="D88" s="2"/>
      <x:c r="E88" s="2"/>
      <x:c r="F88" s="2"/>
      <x:c r="G88" s="2"/>
      <x:c r="H88" s="2"/>
    </x:row>
    <x:row r="89" ht="21" customHeight="1">
      <x:c r="C89" s="59"/>
      <x:c r="D89" s="2"/>
      <x:c r="E89" s="2"/>
      <x:c r="F89" s="2"/>
      <x:c r="G89" s="2"/>
      <x:c r="H89" s="2"/>
    </x:row>
    <x:row r="90" ht="21" customHeight="1">
      <x:c r="C90" s="59"/>
      <x:c r="D90" s="2"/>
      <x:c r="E90" s="2"/>
      <x:c r="F90" s="2"/>
      <x:c r="G90" s="2"/>
      <x:c r="H90" s="2"/>
    </x:row>
    <x:row r="91" ht="21" customHeight="1">
      <x:c r="C91" s="59"/>
      <x:c r="D91" s="2"/>
      <x:c r="E91" s="2"/>
      <x:c r="F91" s="2"/>
      <x:c r="G91" s="2"/>
      <x:c r="H91" s="2"/>
    </x:row>
    <x:row r="92" ht="21" customHeight="1">
      <x:c r="C92" s="59"/>
      <x:c r="D92" s="2"/>
      <x:c r="E92" s="2"/>
      <x:c r="F92" s="2"/>
      <x:c r="G92" s="2"/>
      <x:c r="H92" s="2"/>
    </x:row>
    <x:row r="93" ht="21" customHeight="1">
      <x:c r="C93" s="59"/>
      <x:c r="D93" s="2"/>
      <x:c r="E93" s="2"/>
      <x:c r="F93" s="2"/>
      <x:c r="G93" s="2"/>
      <x:c r="H93" s="2"/>
    </x:row>
    <x:row r="94" ht="21" customHeight="1">
      <x:c r="C94" s="59"/>
      <x:c r="D94" s="2"/>
      <x:c r="E94" s="2"/>
      <x:c r="F94" s="2"/>
      <x:c r="G94" s="2"/>
      <x:c r="H94" s="2"/>
    </x:row>
    <x:row r="95" ht="21" customHeight="1">
      <x:c r="C95" s="59"/>
      <x:c r="D95" s="2"/>
      <x:c r="E95" s="2"/>
      <x:c r="F95" s="2"/>
      <x:c r="G95" s="2"/>
      <x:c r="H95" s="2"/>
    </x:row>
    <x:row r="96" ht="21" customHeight="1">
      <x:c r="C96" s="59"/>
      <x:c r="D96" s="2"/>
      <x:c r="E96" s="2"/>
      <x:c r="F96" s="2"/>
      <x:c r="G96" s="2"/>
      <x:c r="H96" s="2"/>
    </x:row>
    <x:row r="97" ht="21" customHeight="1">
      <x:c r="C97" s="59"/>
      <x:c r="D97" s="2"/>
      <x:c r="E97" s="2"/>
      <x:c r="F97" s="2"/>
      <x:c r="G97" s="2"/>
      <x:c r="H97" s="2"/>
    </x:row>
    <x:row r="98" ht="21" customHeight="1">
      <x:c r="C98" s="59"/>
      <x:c r="D98" s="2"/>
      <x:c r="E98" s="2"/>
      <x:c r="F98" s="2"/>
      <x:c r="G98" s="2"/>
      <x:c r="H98" s="2"/>
    </x:row>
    <x:row r="99" ht="21" customHeight="1">
      <x:c r="C99" s="59"/>
      <x:c r="D99" s="2"/>
      <x:c r="E99" s="2"/>
      <x:c r="F99" s="2"/>
      <x:c r="G99" s="2"/>
      <x:c r="H99" s="2"/>
    </x:row>
    <x:row r="100" ht="21" customHeight="1">
      <x:c r="C100" s="59"/>
      <x:c r="D100" s="2"/>
      <x:c r="E100" s="2"/>
      <x:c r="F100" s="2"/>
      <x:c r="G100" s="2"/>
      <x:c r="H100" s="2"/>
    </x:row>
    <x:row r="101" ht="21" customHeight="1">
      <x:c r="C101" s="59"/>
      <x:c r="D101" s="2"/>
      <x:c r="E101" s="2"/>
      <x:c r="F101" s="2"/>
      <x:c r="G101" s="2"/>
      <x:c r="H101" s="2"/>
    </x:row>
    <x:row r="102" ht="21" customHeight="1">
      <x:c r="C102" s="59"/>
      <x:c r="D102" s="2"/>
      <x:c r="E102" s="2"/>
      <x:c r="F102" s="2"/>
      <x:c r="G102" s="2"/>
      <x:c r="H102" s="2"/>
    </x:row>
    <x:row r="103" ht="21" customHeight="1">
      <x:c r="C103" s="59"/>
      <x:c r="D103" s="2"/>
      <x:c r="E103" s="2"/>
      <x:c r="F103" s="2"/>
      <x:c r="G103" s="2"/>
      <x:c r="H103" s="2"/>
    </x:row>
    <x:row r="104" ht="21" customHeight="1">
      <x:c r="C104" s="59"/>
      <x:c r="D104" s="2"/>
      <x:c r="E104" s="2"/>
      <x:c r="F104" s="2"/>
      <x:c r="G104" s="2"/>
      <x:c r="H104" s="2"/>
    </x:row>
    <x:row r="105" ht="21" customHeight="1">
      <x:c r="C105" s="59"/>
      <x:c r="D105" s="2"/>
      <x:c r="E105" s="2"/>
      <x:c r="F105" s="2"/>
      <x:c r="G105" s="2"/>
      <x:c r="H105" s="2"/>
    </x:row>
    <x:row r="106" ht="21" customHeight="1">
      <x:c r="C106" s="59"/>
      <x:c r="D106" s="2"/>
      <x:c r="E106" s="2"/>
      <x:c r="F106" s="2"/>
      <x:c r="G106" s="2"/>
      <x:c r="H106" s="2"/>
    </x:row>
    <x:row r="107" ht="21" customHeight="1">
      <x:c r="C107" s="59"/>
      <x:c r="D107" s="2"/>
      <x:c r="E107" s="2"/>
      <x:c r="F107" s="2"/>
      <x:c r="G107" s="2"/>
      <x:c r="H107" s="2"/>
    </x:row>
    <x:row r="108" ht="21" customHeight="1">
      <x:c r="C108" s="59"/>
      <x:c r="D108" s="2"/>
      <x:c r="E108" s="2"/>
      <x:c r="F108" s="2"/>
      <x:c r="G108" s="2"/>
      <x:c r="H108" s="2"/>
    </x:row>
    <x:row r="109" ht="21" customHeight="1">
      <x:c r="C109" s="59"/>
      <x:c r="D109" s="2"/>
      <x:c r="E109" s="2"/>
      <x:c r="F109" s="2"/>
      <x:c r="G109" s="2"/>
      <x:c r="H109" s="2"/>
    </x:row>
    <x:row r="110" ht="21" customHeight="1">
      <x:c r="C110" s="59"/>
      <x:c r="D110" s="2"/>
      <x:c r="E110" s="2"/>
      <x:c r="F110" s="2"/>
      <x:c r="G110" s="2"/>
      <x:c r="H110" s="2"/>
    </x:row>
    <x:row r="111" ht="21" customHeight="1">
      <x:c r="C111" s="59"/>
      <x:c r="D111" s="2"/>
      <x:c r="E111" s="2"/>
      <x:c r="F111" s="2"/>
      <x:c r="G111" s="2"/>
      <x:c r="H111" s="2"/>
    </x:row>
    <x:row r="112" ht="21" customHeight="1">
      <x:c r="C112" s="59"/>
      <x:c r="D112" s="2"/>
      <x:c r="E112" s="2"/>
      <x:c r="F112" s="2"/>
      <x:c r="G112" s="2"/>
      <x:c r="H112" s="2"/>
    </x:row>
    <x:row r="113" ht="21" customHeight="1">
      <x:c r="C113" s="59"/>
      <x:c r="D113" s="2"/>
      <x:c r="E113" s="2"/>
      <x:c r="F113" s="2"/>
      <x:c r="G113" s="2"/>
      <x:c r="H113" s="2"/>
    </x:row>
    <x:row r="114" ht="21" customHeight="1">
      <x:c r="C114" s="59"/>
      <x:c r="D114" s="2"/>
      <x:c r="E114" s="2"/>
      <x:c r="F114" s="2"/>
      <x:c r="G114" s="2"/>
      <x:c r="H114" s="2"/>
    </x:row>
    <x:row r="115" ht="21" customHeight="1">
      <x:c r="C115" s="59"/>
      <x:c r="D115" s="2"/>
      <x:c r="E115" s="2"/>
      <x:c r="F115" s="2"/>
      <x:c r="G115" s="2"/>
      <x:c r="H115" s="2"/>
    </x:row>
    <x:row r="116" ht="21" customHeight="1">
      <x:c r="C116" s="59"/>
      <x:c r="D116" s="2"/>
      <x:c r="E116" s="2"/>
      <x:c r="F116" s="2"/>
      <x:c r="G116" s="2"/>
      <x:c r="H116" s="2"/>
    </x:row>
    <x:row r="117" ht="21" customHeight="1">
      <x:c r="C117" s="59"/>
      <x:c r="D117" s="2"/>
      <x:c r="E117" s="2"/>
      <x:c r="F117" s="2"/>
      <x:c r="G117" s="2"/>
      <x:c r="H117" s="2"/>
    </x:row>
    <x:row r="118" ht="21" customHeight="1">
      <x:c r="C118" s="59"/>
      <x:c r="D118" s="2"/>
      <x:c r="E118" s="2"/>
      <x:c r="F118" s="2"/>
      <x:c r="G118" s="2"/>
      <x:c r="H118" s="2"/>
    </x:row>
    <x:row r="119" ht="21" customHeight="1">
      <x:c r="C119" s="59"/>
      <x:c r="D119" s="2"/>
      <x:c r="E119" s="2"/>
      <x:c r="F119" s="2"/>
      <x:c r="G119" s="2"/>
      <x:c r="H119" s="2"/>
    </x:row>
    <x:row r="120" ht="21" customHeight="1">
      <x:c r="C120" s="59"/>
      <x:c r="D120" s="2"/>
      <x:c r="E120" s="2"/>
      <x:c r="F120" s="2"/>
      <x:c r="G120" s="2"/>
      <x:c r="H120" s="2"/>
    </x:row>
    <x:row r="121" ht="21" customHeight="1">
      <x:c r="C121" s="59"/>
      <x:c r="D121" s="2"/>
      <x:c r="E121" s="2"/>
      <x:c r="F121" s="2"/>
      <x:c r="G121" s="2"/>
      <x:c r="H121" s="2"/>
    </x:row>
    <x:row r="122" ht="21" customHeight="1">
      <x:c r="C122" s="59"/>
      <x:c r="D122" s="2"/>
      <x:c r="E122" s="2"/>
      <x:c r="F122" s="2"/>
      <x:c r="G122" s="2"/>
      <x:c r="H122" s="2"/>
    </x:row>
    <x:row r="123" ht="21" customHeight="1">
      <x:c r="C123" s="59"/>
      <x:c r="D123" s="2"/>
      <x:c r="E123" s="2"/>
      <x:c r="F123" s="2"/>
      <x:c r="G123" s="2"/>
      <x:c r="H123" s="2"/>
    </x:row>
    <x:row r="124" ht="21" customHeight="1">
      <x:c r="C124" s="59"/>
      <x:c r="D124" s="2"/>
      <x:c r="E124" s="2"/>
      <x:c r="F124" s="2"/>
      <x:c r="G124" s="2"/>
      <x:c r="H124" s="2"/>
    </x:row>
    <x:row r="125" ht="21" customHeight="1">
      <x:c r="C125" s="59"/>
      <x:c r="D125" s="2"/>
      <x:c r="E125" s="2"/>
      <x:c r="F125" s="2"/>
      <x:c r="G125" s="2"/>
      <x:c r="H125" s="2"/>
    </x:row>
    <x:row r="126" ht="21" customHeight="1">
      <x:c r="C126" s="59"/>
      <x:c r="D126" s="2"/>
      <x:c r="E126" s="2"/>
      <x:c r="F126" s="2"/>
      <x:c r="G126" s="2"/>
      <x:c r="H126" s="2"/>
    </x:row>
    <x:row r="127" ht="21" customHeight="1">
      <x:c r="C127" s="59"/>
      <x:c r="D127" s="2"/>
      <x:c r="E127" s="2"/>
      <x:c r="F127" s="2"/>
      <x:c r="G127" s="2"/>
      <x:c r="H127" s="2"/>
    </x:row>
    <x:row r="128" ht="21" customHeight="1">
      <x:c r="C128" s="59"/>
      <x:c r="D128" s="2"/>
      <x:c r="E128" s="2"/>
      <x:c r="F128" s="2"/>
      <x:c r="G128" s="2"/>
      <x:c r="H128" s="2"/>
    </x:row>
    <x:row r="129" ht="21" customHeight="1">
      <x:c r="C129" s="59"/>
      <x:c r="D129" s="2"/>
      <x:c r="E129" s="2"/>
      <x:c r="F129" s="2"/>
      <x:c r="G129" s="2"/>
      <x:c r="H129" s="2"/>
    </x:row>
    <x:row r="130" ht="21" customHeight="1">
      <x:c r="C130" s="59"/>
      <x:c r="D130" s="2"/>
      <x:c r="E130" s="2"/>
      <x:c r="F130" s="2"/>
      <x:c r="G130" s="2"/>
      <x:c r="H130" s="2"/>
    </x:row>
    <x:row r="131" ht="21" customHeight="1">
      <x:c r="C131" s="59"/>
      <x:c r="D131" s="2"/>
      <x:c r="E131" s="2"/>
      <x:c r="F131" s="2"/>
      <x:c r="G131" s="2"/>
      <x:c r="H131" s="2"/>
    </x:row>
    <x:row r="132" ht="21" customHeight="1">
      <x:c r="C132" s="59"/>
      <x:c r="D132" s="2"/>
      <x:c r="E132" s="2"/>
      <x:c r="F132" s="2"/>
      <x:c r="G132" s="2"/>
      <x:c r="H132" s="2"/>
    </x:row>
    <x:row r="133" ht="21" customHeight="1">
      <x:c r="C133" s="59"/>
      <x:c r="D133" s="2"/>
      <x:c r="E133" s="2"/>
      <x:c r="F133" s="2"/>
      <x:c r="G133" s="2"/>
      <x:c r="H133" s="2"/>
    </x:row>
    <x:row r="134" ht="21" customHeight="1">
      <x:c r="C134" s="59"/>
      <x:c r="D134" s="2"/>
      <x:c r="E134" s="2"/>
      <x:c r="F134" s="2"/>
      <x:c r="G134" s="2"/>
      <x:c r="H134" s="2"/>
    </x:row>
    <x:row r="135" ht="21" customHeight="1">
      <x:c r="C135" s="59"/>
      <x:c r="D135" s="2"/>
      <x:c r="E135" s="2"/>
      <x:c r="F135" s="2"/>
      <x:c r="G135" s="2"/>
      <x:c r="H135" s="2"/>
    </x:row>
    <x:row r="136" ht="21" customHeight="1">
      <x:c r="C136" s="59"/>
      <x:c r="D136" s="2"/>
      <x:c r="E136" s="2"/>
      <x:c r="F136" s="2"/>
      <x:c r="G136" s="2"/>
      <x:c r="H136" s="2"/>
    </x:row>
    <x:row r="137" ht="21" customHeight="1">
      <x:c r="C137" s="59"/>
      <x:c r="D137" s="2"/>
      <x:c r="E137" s="2"/>
      <x:c r="F137" s="2"/>
      <x:c r="G137" s="2"/>
      <x:c r="H137" s="2"/>
    </x:row>
    <x:row r="138" ht="21" customHeight="1">
      <x:c r="C138" s="59"/>
      <x:c r="D138" s="2"/>
      <x:c r="E138" s="2"/>
      <x:c r="F138" s="2"/>
      <x:c r="G138" s="2"/>
      <x:c r="H138" s="2"/>
    </x:row>
    <x:row r="139" ht="21" customHeight="1">
      <x:c r="C139" s="59"/>
      <x:c r="D139" s="2"/>
      <x:c r="E139" s="2"/>
      <x:c r="F139" s="2"/>
      <x:c r="G139" s="2"/>
      <x:c r="H139" s="2"/>
    </x:row>
    <x:row r="140" ht="21" customHeight="1">
      <x:c r="C140" s="59"/>
      <x:c r="D140" s="2"/>
      <x:c r="E140" s="2"/>
      <x:c r="F140" s="2"/>
      <x:c r="G140" s="2"/>
      <x:c r="H140" s="2"/>
    </x:row>
    <x:row r="141" ht="21" customHeight="1">
      <x:c r="C141" s="59"/>
      <x:c r="D141" s="2"/>
      <x:c r="E141" s="2"/>
      <x:c r="F141" s="2"/>
      <x:c r="G141" s="2"/>
      <x:c r="H141" s="2"/>
    </x:row>
    <x:row r="142" ht="21" customHeight="1">
      <x:c r="C142" s="59"/>
      <x:c r="D142" s="2"/>
      <x:c r="E142" s="2"/>
      <x:c r="F142" s="2"/>
      <x:c r="G142" s="2"/>
      <x:c r="H142" s="2"/>
    </x:row>
    <x:row r="143" ht="21" customHeight="1">
      <x:c r="C143" s="59"/>
      <x:c r="D143" s="2"/>
      <x:c r="E143" s="2"/>
      <x:c r="F143" s="2"/>
      <x:c r="G143" s="2"/>
      <x:c r="H143" s="2"/>
    </x:row>
    <x:row r="144" ht="21" customHeight="1">
      <x:c r="C144" s="59"/>
      <x:c r="D144" s="2"/>
      <x:c r="E144" s="2"/>
      <x:c r="F144" s="2"/>
      <x:c r="G144" s="2"/>
      <x:c r="H144" s="2"/>
    </x:row>
    <x:row r="145" ht="21" customHeight="1">
      <x:c r="C145" s="59"/>
      <x:c r="D145" s="2"/>
      <x:c r="E145" s="2"/>
      <x:c r="F145" s="2"/>
      <x:c r="G145" s="2"/>
      <x:c r="H145" s="2"/>
    </x:row>
    <x:row r="146" ht="21" customHeight="1">
      <x:c r="C146" s="59"/>
      <x:c r="D146" s="2"/>
      <x:c r="E146" s="2"/>
      <x:c r="F146" s="2"/>
      <x:c r="G146" s="2"/>
      <x:c r="H146" s="2"/>
    </x:row>
    <x:row r="147" ht="21" customHeight="1">
      <x:c r="C147" s="59"/>
      <x:c r="D147" s="2"/>
      <x:c r="E147" s="2"/>
      <x:c r="F147" s="2"/>
      <x:c r="G147" s="2"/>
      <x:c r="H147" s="2"/>
    </x:row>
    <x:row r="148" ht="21" customHeight="1">
      <x:c r="C148" s="59"/>
      <x:c r="D148" s="2"/>
      <x:c r="E148" s="2"/>
      <x:c r="F148" s="2"/>
      <x:c r="G148" s="2"/>
      <x:c r="H148" s="2"/>
    </x:row>
    <x:row r="149" ht="21" customHeight="1">
      <x:c r="C149" s="59"/>
      <x:c r="D149" s="2"/>
      <x:c r="E149" s="2"/>
      <x:c r="F149" s="2"/>
      <x:c r="G149" s="2"/>
      <x:c r="H149" s="2"/>
    </x:row>
    <x:row r="150" ht="21" customHeight="1">
      <x:c r="C150" s="59"/>
      <x:c r="D150" s="2"/>
      <x:c r="E150" s="2"/>
      <x:c r="F150" s="2"/>
      <x:c r="G150" s="2"/>
      <x:c r="H150" s="2"/>
    </x:row>
    <x:row r="151" ht="21" customHeight="1">
      <x:c r="C151" s="59"/>
      <x:c r="D151" s="2"/>
      <x:c r="E151" s="2"/>
      <x:c r="F151" s="2"/>
      <x:c r="G151" s="2"/>
      <x:c r="H151" s="2"/>
    </x:row>
    <x:row r="152" ht="21" customHeight="1">
      <x:c r="C152" s="59"/>
      <x:c r="D152" s="2"/>
      <x:c r="E152" s="2"/>
      <x:c r="F152" s="2"/>
      <x:c r="G152" s="2"/>
      <x:c r="H152" s="2"/>
    </x:row>
    <x:row r="153" ht="21" customHeight="1">
      <x:c r="C153" s="59"/>
      <x:c r="D153" s="2"/>
      <x:c r="E153" s="2"/>
      <x:c r="F153" s="2"/>
      <x:c r="G153" s="2"/>
      <x:c r="H153" s="2"/>
    </x:row>
    <x:row r="154" ht="21" customHeight="1">
      <x:c r="C154" s="59"/>
      <x:c r="D154" s="2"/>
      <x:c r="E154" s="2"/>
      <x:c r="F154" s="2"/>
      <x:c r="G154" s="2"/>
      <x:c r="H154" s="2"/>
    </x:row>
    <x:row r="155" ht="21" customHeight="1">
      <x:c r="C155" s="59"/>
      <x:c r="D155" s="2"/>
      <x:c r="E155" s="2"/>
      <x:c r="F155" s="2"/>
      <x:c r="G155" s="2"/>
      <x:c r="H155" s="2"/>
    </x:row>
    <x:row r="156" ht="21" customHeight="1">
      <x:c r="C156" s="59"/>
      <x:c r="D156" s="2"/>
      <x:c r="E156" s="2"/>
      <x:c r="F156" s="2"/>
      <x:c r="G156" s="2"/>
      <x:c r="H156" s="2"/>
    </x:row>
    <x:row r="157" ht="21" customHeight="1">
      <x:c r="C157" s="59"/>
      <x:c r="D157" s="2"/>
      <x:c r="E157" s="2"/>
      <x:c r="F157" s="2"/>
      <x:c r="G157" s="2"/>
      <x:c r="H157" s="2"/>
    </x:row>
    <x:row r="158" ht="21" customHeight="1">
      <x:c r="C158" s="59"/>
      <x:c r="D158" s="2"/>
      <x:c r="E158" s="2"/>
      <x:c r="F158" s="2"/>
      <x:c r="G158" s="2"/>
      <x:c r="H158" s="2"/>
    </x:row>
    <x:row r="159" ht="21" customHeight="1">
      <x:c r="C159" s="59"/>
      <x:c r="D159" s="2"/>
      <x:c r="E159" s="2"/>
      <x:c r="F159" s="2"/>
      <x:c r="G159" s="2"/>
      <x:c r="H159" s="2"/>
    </x:row>
    <x:row r="160" ht="21" customHeight="1">
      <x:c r="C160" s="59"/>
      <x:c r="D160" s="2"/>
      <x:c r="E160" s="2"/>
      <x:c r="F160" s="2"/>
      <x:c r="G160" s="2"/>
      <x:c r="H160" s="2"/>
    </x:row>
    <x:row r="161" ht="21" customHeight="1">
      <x:c r="C161" s="59"/>
      <x:c r="D161" s="2"/>
      <x:c r="E161" s="2"/>
      <x:c r="F161" s="2"/>
      <x:c r="G161" s="2"/>
      <x:c r="H161" s="2"/>
    </x:row>
    <x:row r="162" ht="21" customHeight="1">
      <x:c r="C162" s="59"/>
      <x:c r="D162" s="2"/>
      <x:c r="E162" s="2"/>
      <x:c r="F162" s="2"/>
      <x:c r="G162" s="2"/>
      <x:c r="H162" s="2"/>
    </x:row>
    <x:row r="163" ht="21" customHeight="1">
      <x:c r="C163" s="59"/>
      <x:c r="D163" s="2"/>
      <x:c r="E163" s="2"/>
      <x:c r="F163" s="2"/>
      <x:c r="G163" s="2"/>
      <x:c r="H163" s="2"/>
    </x:row>
    <x:row r="164" ht="21" customHeight="1">
      <x:c r="C164" s="59"/>
      <x:c r="D164" s="2"/>
      <x:c r="E164" s="2"/>
      <x:c r="F164" s="2"/>
      <x:c r="G164" s="2"/>
      <x:c r="H164" s="2"/>
    </x:row>
    <x:row r="165" ht="21" customHeight="1">
      <x:c r="C165" s="59"/>
      <x:c r="D165" s="2"/>
      <x:c r="E165" s="2"/>
      <x:c r="F165" s="2"/>
      <x:c r="G165" s="2"/>
      <x:c r="H165" s="2"/>
    </x:row>
    <x:row r="166" ht="21" customHeight="1">
      <x:c r="C166" s="59"/>
      <x:c r="D166" s="2"/>
      <x:c r="E166" s="2"/>
      <x:c r="F166" s="2"/>
      <x:c r="G166" s="2"/>
      <x:c r="H166" s="2"/>
    </x:row>
    <x:row r="167" ht="21" customHeight="1">
      <x:c r="C167" s="59"/>
      <x:c r="D167" s="2"/>
      <x:c r="E167" s="2"/>
      <x:c r="F167" s="2"/>
      <x:c r="G167" s="2"/>
      <x:c r="H167" s="2"/>
    </x:row>
    <x:row r="168" ht="21" customHeight="1">
      <x:c r="C168" s="59"/>
      <x:c r="D168" s="2"/>
      <x:c r="E168" s="2"/>
      <x:c r="F168" s="2"/>
      <x:c r="G168" s="2"/>
      <x:c r="H168" s="2"/>
    </x:row>
    <x:row r="169" ht="21" customHeight="1">
      <x:c r="C169" s="59"/>
      <x:c r="D169" s="2"/>
      <x:c r="E169" s="2"/>
      <x:c r="F169" s="2"/>
      <x:c r="G169" s="2"/>
      <x:c r="H169" s="2"/>
    </x:row>
    <x:row r="170" ht="21" customHeight="1">
      <x:c r="C170" s="59"/>
      <x:c r="D170" s="2"/>
      <x:c r="E170" s="2"/>
      <x:c r="F170" s="2"/>
      <x:c r="G170" s="2"/>
      <x:c r="H170" s="2"/>
    </x:row>
    <x:row r="171" ht="21" customHeight="1">
      <x:c r="C171" s="59"/>
      <x:c r="D171" s="2"/>
      <x:c r="E171" s="2"/>
      <x:c r="F171" s="2"/>
      <x:c r="G171" s="2"/>
      <x:c r="H171" s="2"/>
    </x:row>
    <x:row r="172" ht="21" customHeight="1">
      <x:c r="C172" s="59"/>
      <x:c r="D172" s="2"/>
      <x:c r="E172" s="2"/>
      <x:c r="F172" s="2"/>
      <x:c r="G172" s="2"/>
      <x:c r="H172" s="2"/>
    </x:row>
    <x:row r="173" ht="21" customHeight="1">
      <x:c r="C173" s="59"/>
      <x:c r="D173" s="2"/>
      <x:c r="E173" s="2"/>
      <x:c r="F173" s="2"/>
      <x:c r="G173" s="2"/>
      <x:c r="H173" s="2"/>
    </x:row>
    <x:row r="174" ht="21" customHeight="1">
      <x:c r="C174" s="59"/>
      <x:c r="D174" s="2"/>
      <x:c r="E174" s="2"/>
      <x:c r="F174" s="2"/>
      <x:c r="G174" s="2"/>
      <x:c r="H174" s="2"/>
    </x:row>
    <x:row r="175" ht="21" customHeight="1">
      <x:c r="C175" s="59"/>
      <x:c r="D175" s="2"/>
      <x:c r="E175" s="2"/>
      <x:c r="F175" s="2"/>
      <x:c r="G175" s="2"/>
      <x:c r="H175" s="2"/>
    </x:row>
    <x:row r="176" ht="21" customHeight="1">
      <x:c r="C176" s="59"/>
      <x:c r="D176" s="2"/>
      <x:c r="E176" s="2"/>
      <x:c r="F176" s="2"/>
      <x:c r="G176" s="2"/>
      <x:c r="H176" s="2"/>
    </x:row>
    <x:row r="177" ht="21" customHeight="1">
      <x:c r="C177" s="59"/>
      <x:c r="D177" s="2"/>
      <x:c r="E177" s="2"/>
      <x:c r="F177" s="2"/>
      <x:c r="G177" s="2"/>
      <x:c r="H177" s="2"/>
    </x:row>
    <x:row r="178" ht="21" customHeight="1">
      <x:c r="C178" s="59"/>
      <x:c r="D178" s="2"/>
      <x:c r="E178" s="2"/>
      <x:c r="F178" s="2"/>
      <x:c r="G178" s="2"/>
      <x:c r="H178" s="2"/>
    </x:row>
    <x:row r="179" ht="21" customHeight="1">
      <x:c r="C179" s="59"/>
      <x:c r="D179" s="2"/>
      <x:c r="E179" s="2"/>
      <x:c r="F179" s="2"/>
      <x:c r="G179" s="2"/>
      <x:c r="H179" s="2"/>
    </x:row>
    <x:row r="180" ht="21" customHeight="1">
      <x:c r="C180" s="59"/>
      <x:c r="D180" s="2"/>
      <x:c r="E180" s="2"/>
      <x:c r="F180" s="2"/>
      <x:c r="G180" s="2"/>
      <x:c r="H180" s="2"/>
    </x:row>
    <x:row r="181" ht="21" customHeight="1">
      <x:c r="C181" s="59"/>
      <x:c r="D181" s="2"/>
      <x:c r="E181" s="2"/>
      <x:c r="F181" s="2"/>
      <x:c r="G181" s="2"/>
      <x:c r="H181" s="2"/>
    </x:row>
    <x:row r="182" ht="21" customHeight="1">
      <x:c r="C182" s="59"/>
      <x:c r="D182" s="2"/>
      <x:c r="E182" s="2"/>
      <x:c r="F182" s="2"/>
      <x:c r="G182" s="2"/>
      <x:c r="H182" s="2"/>
    </x:row>
    <x:row r="183" ht="21" customHeight="1">
      <x:c r="C183" s="59"/>
      <x:c r="D183" s="2"/>
      <x:c r="E183" s="2"/>
      <x:c r="F183" s="2"/>
      <x:c r="G183" s="2"/>
      <x:c r="H183" s="2"/>
    </x:row>
    <x:row r="184" ht="21" customHeight="1">
      <x:c r="C184" s="59"/>
      <x:c r="D184" s="2"/>
      <x:c r="E184" s="2"/>
      <x:c r="F184" s="2"/>
      <x:c r="G184" s="2"/>
      <x:c r="H184" s="2"/>
    </x:row>
    <x:row r="185" ht="21" customHeight="1">
      <x:c r="C185" s="59"/>
      <x:c r="D185" s="2"/>
      <x:c r="E185" s="2"/>
      <x:c r="F185" s="2"/>
      <x:c r="G185" s="2"/>
      <x:c r="H185" s="2"/>
    </x:row>
    <x:row r="186" ht="21" customHeight="1">
      <x:c r="C186" s="59"/>
      <x:c r="D186" s="2"/>
      <x:c r="E186" s="2"/>
      <x:c r="F186" s="2"/>
      <x:c r="G186" s="2"/>
      <x:c r="H186" s="2"/>
    </x:row>
    <x:row r="187" ht="21" customHeight="1">
      <x:c r="C187" s="59"/>
      <x:c r="D187" s="2"/>
      <x:c r="E187" s="2"/>
      <x:c r="F187" s="2"/>
      <x:c r="G187" s="2"/>
      <x:c r="H187" s="2"/>
    </x:row>
    <x:row r="188" ht="21" customHeight="1">
      <x:c r="C188" s="59"/>
      <x:c r="D188" s="2"/>
      <x:c r="E188" s="2"/>
      <x:c r="F188" s="2"/>
      <x:c r="G188" s="2"/>
      <x:c r="H188" s="2"/>
    </x:row>
    <x:row r="189" ht="21" customHeight="1">
      <x:c r="C189" s="59"/>
      <x:c r="D189" s="2"/>
      <x:c r="E189" s="2"/>
      <x:c r="F189" s="2"/>
      <x:c r="G189" s="2"/>
      <x:c r="H189" s="2"/>
    </x:row>
    <x:row r="190" ht="21" customHeight="1">
      <x:c r="C190" s="59"/>
      <x:c r="D190" s="2"/>
      <x:c r="E190" s="2"/>
      <x:c r="F190" s="2"/>
      <x:c r="G190" s="2"/>
      <x:c r="H190" s="2"/>
    </x:row>
    <x:row r="191" ht="21" customHeight="1">
      <x:c r="C191" s="59"/>
      <x:c r="D191" s="2"/>
      <x:c r="E191" s="2"/>
      <x:c r="F191" s="2"/>
      <x:c r="G191" s="2"/>
      <x:c r="H191" s="2"/>
    </x:row>
    <x:row r="192" ht="21" customHeight="1">
      <x:c r="C192" s="59"/>
      <x:c r="D192" s="2"/>
      <x:c r="E192" s="2"/>
      <x:c r="F192" s="2"/>
      <x:c r="G192" s="2"/>
      <x:c r="H192" s="2"/>
    </x:row>
    <x:row r="193" ht="21" customHeight="1">
      <x:c r="C193" s="59"/>
      <x:c r="D193" s="2"/>
      <x:c r="E193" s="2"/>
      <x:c r="F193" s="2"/>
      <x:c r="G193" s="2"/>
      <x:c r="H193" s="2"/>
    </x:row>
    <x:row r="194" ht="21" customHeight="1">
      <x:c r="C194" s="59"/>
      <x:c r="D194" s="2"/>
      <x:c r="E194" s="2"/>
      <x:c r="F194" s="2"/>
      <x:c r="G194" s="2"/>
      <x:c r="H194" s="2"/>
    </x:row>
    <x:row r="195" ht="21" customHeight="1">
      <x:c r="C195" s="59"/>
      <x:c r="D195" s="2"/>
      <x:c r="E195" s="2"/>
      <x:c r="F195" s="2"/>
      <x:c r="G195" s="2"/>
      <x:c r="H195" s="2"/>
    </x:row>
    <x:row r="196" ht="21" customHeight="1">
      <x:c r="C196" s="59"/>
      <x:c r="D196" s="2"/>
      <x:c r="E196" s="2"/>
      <x:c r="F196" s="2"/>
      <x:c r="G196" s="2"/>
      <x:c r="H196" s="2"/>
    </x:row>
    <x:row r="197" ht="21" customHeight="1">
      <x:c r="C197" s="59"/>
      <x:c r="D197" s="2"/>
      <x:c r="E197" s="2"/>
      <x:c r="F197" s="2"/>
      <x:c r="G197" s="2"/>
      <x:c r="H197" s="2"/>
    </x:row>
    <x:row r="198" ht="21" customHeight="1">
      <x:c r="C198" s="59"/>
      <x:c r="D198" s="2"/>
      <x:c r="E198" s="2"/>
      <x:c r="F198" s="2"/>
      <x:c r="G198" s="2"/>
      <x:c r="H198" s="2"/>
    </x:row>
    <x:row r="199" ht="21" customHeight="1">
      <x:c r="C199" s="59"/>
      <x:c r="D199" s="2"/>
      <x:c r="E199" s="2"/>
      <x:c r="F199" s="2"/>
      <x:c r="G199" s="2"/>
      <x:c r="H199" s="2"/>
    </x:row>
    <x:row r="200" ht="21" customHeight="1">
      <x:c r="C200" s="59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